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BC\OneDrive\Practice Projects\Excel\chocolate sales\"/>
    </mc:Choice>
  </mc:AlternateContent>
  <xr:revisionPtr revIDLastSave="0" documentId="13_ncr:1_{6F2BEC38-36B0-4356-9065-700C55407D3E}" xr6:coauthVersionLast="47" xr6:coauthVersionMax="47" xr10:uidLastSave="{00000000-0000-0000-0000-000000000000}"/>
  <bookViews>
    <workbookView xWindow="-120" yWindow="-120" windowWidth="20730" windowHeight="11160" xr2:uid="{00000000-000D-0000-FFFF-FFFF00000000}"/>
  </bookViews>
  <sheets>
    <sheet name="Dashboard" sheetId="3" r:id="rId1"/>
    <sheet name="Pivot" sheetId="2" r:id="rId2"/>
    <sheet name="Chocolate Sales" sheetId="1" r:id="rId3"/>
  </sheets>
  <definedNames>
    <definedName name="_xlchart.v1.0" hidden="1">Pivot!$J$13:$J$20</definedName>
    <definedName name="_xlchart.v1.1" hidden="1">Pivot!$K$13:$K$20</definedName>
    <definedName name="Slicer_Day">#N/A</definedName>
    <definedName name="Slicer_Month">#N/A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X11" i="2"/>
  <c r="X6" i="2"/>
</calcChain>
</file>

<file path=xl/sharedStrings.xml><?xml version="1.0" encoding="utf-8"?>
<sst xmlns="http://schemas.openxmlformats.org/spreadsheetml/2006/main" count="3393" uniqueCount="74">
  <si>
    <t>Sales Person</t>
  </si>
  <si>
    <t>Country</t>
  </si>
  <si>
    <t>Product</t>
  </si>
  <si>
    <t>Date</t>
  </si>
  <si>
    <t>Amount</t>
  </si>
  <si>
    <t>Boxes Shipped</t>
  </si>
  <si>
    <t>Jehu Rudeforth</t>
  </si>
  <si>
    <t>UK</t>
  </si>
  <si>
    <t>Mint Chip Choco</t>
  </si>
  <si>
    <t>Van Tuxwell</t>
  </si>
  <si>
    <t>India</t>
  </si>
  <si>
    <t>85% Dark Bars</t>
  </si>
  <si>
    <t>Gigi Bohling</t>
  </si>
  <si>
    <t>Peanut Butter Cubes</t>
  </si>
  <si>
    <t>Jan Morforth</t>
  </si>
  <si>
    <t>Australia</t>
  </si>
  <si>
    <t>Smooth Sliky Salty</t>
  </si>
  <si>
    <t>Oby Sorrel</t>
  </si>
  <si>
    <t>99% Dark &amp; Pure</t>
  </si>
  <si>
    <t>Gunar Cockshoot</t>
  </si>
  <si>
    <t>After Nines</t>
  </si>
  <si>
    <t>New Zealand</t>
  </si>
  <si>
    <t>50% Dark Bites</t>
  </si>
  <si>
    <t>Brien Boise</t>
  </si>
  <si>
    <t>Rafaelita Blaksland</t>
  </si>
  <si>
    <t>Barr Faughny</t>
  </si>
  <si>
    <t>USA</t>
  </si>
  <si>
    <t>Orange Choco</t>
  </si>
  <si>
    <t>Mallorie Waber</t>
  </si>
  <si>
    <t>Canada</t>
  </si>
  <si>
    <t>Eclairs</t>
  </si>
  <si>
    <t>Karlen McCaffrey</t>
  </si>
  <si>
    <t>Drinking Coco</t>
  </si>
  <si>
    <t>Marney O'Breen</t>
  </si>
  <si>
    <t>Beverie Moffet</t>
  </si>
  <si>
    <t>Organic Choco Syrup</t>
  </si>
  <si>
    <t>Roddy Speechley</t>
  </si>
  <si>
    <t>Milk Bars</t>
  </si>
  <si>
    <t>Curtice Advani</t>
  </si>
  <si>
    <t>Spicy Special Slims</t>
  </si>
  <si>
    <t>Husein Augar</t>
  </si>
  <si>
    <t>Kaine Padly</t>
  </si>
  <si>
    <t>Fruit &amp; Nut Bars</t>
  </si>
  <si>
    <t>Dennison Crosswaite</t>
  </si>
  <si>
    <t>White Choc</t>
  </si>
  <si>
    <t>Manuka Honey Choco</t>
  </si>
  <si>
    <t>Wilone O'Kielt</t>
  </si>
  <si>
    <t>Almond Choco</t>
  </si>
  <si>
    <t>Andria Kimpton</t>
  </si>
  <si>
    <t>Kelci Walkden</t>
  </si>
  <si>
    <t>Camilla Castle</t>
  </si>
  <si>
    <t>Raspberry Choco</t>
  </si>
  <si>
    <t>Choco Coated Almonds</t>
  </si>
  <si>
    <t>Madelene Upcott</t>
  </si>
  <si>
    <t>Dotty Strutley</t>
  </si>
  <si>
    <t>Ches Bonnell</t>
  </si>
  <si>
    <t>Baker's Choco Chips</t>
  </si>
  <si>
    <t>Caramel Stuffed Bars</t>
  </si>
  <si>
    <t>70% Dark Bites</t>
  </si>
  <si>
    <t>Month</t>
  </si>
  <si>
    <t>Day</t>
  </si>
  <si>
    <t>Year</t>
  </si>
  <si>
    <t>Row Labels</t>
  </si>
  <si>
    <t>Sum of Boxes Shipped</t>
  </si>
  <si>
    <t>Count of Boxes Shipped</t>
  </si>
  <si>
    <t>Jan</t>
  </si>
  <si>
    <t>Feb</t>
  </si>
  <si>
    <t>Mar</t>
  </si>
  <si>
    <t>Apr</t>
  </si>
  <si>
    <t>May</t>
  </si>
  <si>
    <t>Jun</t>
  </si>
  <si>
    <t>Jul</t>
  </si>
  <si>
    <t>Aug</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</si>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</sst>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409]#,##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5"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 fontId="0" fillId="0" borderId="0" xfId="0" applyNumberFormat="1"/>
    <xf numFmtId="165"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 formatCode="0"/>
    </dxf>
    <dxf>
      <numFmt numFmtId="165" formatCode="[$$-409]#,##0.0"/>
    </dxf>
    <dxf>
      <numFmt numFmtId="20" formatCode="dd/mmm/yy"/>
    </dxf>
    <dxf>
      <numFmt numFmtId="20" formatCode="dd/mmm/yy"/>
    </dxf>
    <dxf>
      <numFmt numFmtId="20" formatCode="dd/mmm/yy"/>
    </dxf>
    <dxf>
      <numFmt numFmtId="20" formatCode="d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Sales.xlsx]Pivot!PivotTable1</c:name>
    <c:fmtId val="2"/>
  </c:pivotSource>
  <c:chart>
    <c:title>
      <c:tx>
        <c:rich>
          <a:bodyPr rot="0" spcFirstLastPara="1" vertOverflow="ellipsis" vert="horz" wrap="square" anchor="ctr" anchorCtr="1"/>
          <a:lstStyle/>
          <a:p>
            <a:pPr>
              <a:defRPr b="0" i="0" u="none" strike="noStrike" kern="1200" baseline="0">
                <a:solidFill>
                  <a:schemeClr val="tx1"/>
                </a:solidFill>
                <a:effectLst/>
                <a:latin typeface="+mn-lt"/>
                <a:ea typeface="+mn-ea"/>
                <a:cs typeface="+mn-cs"/>
              </a:defRPr>
            </a:pPr>
            <a:r>
              <a:rPr lang="en-IN">
                <a:solidFill>
                  <a:schemeClr val="tx1"/>
                </a:solidFill>
              </a:rPr>
              <a:t>Boxes Shipped By Sales Person</a:t>
            </a:r>
          </a:p>
        </c:rich>
      </c:tx>
      <c:overlay val="0"/>
      <c:spPr>
        <a:gradFill flip="none" rotWithShape="1">
          <a:gsLst>
            <a:gs pos="3000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a:solidFill>
            <a:schemeClr val="tx1"/>
          </a:solidFill>
        </a:ln>
        <a:effectLst>
          <a:glow rad="228600">
            <a:schemeClr val="accent4">
              <a:satMod val="175000"/>
              <a:alpha val="40000"/>
            </a:schemeClr>
          </a:glow>
          <a:innerShdw blurRad="63500" dist="50800" dir="16200000">
            <a:prstClr val="black">
              <a:alpha val="50000"/>
            </a:prstClr>
          </a:innerShdw>
        </a:effectLst>
      </c:spPr>
      <c:txPr>
        <a:bodyPr rot="0" spcFirstLastPara="1" vertOverflow="ellipsis" vert="horz" wrap="square" anchor="ctr" anchorCtr="1"/>
        <a:lstStyle/>
        <a:p>
          <a:pPr>
            <a:defRPr b="0" i="0" u="none" strike="noStrike" kern="1200" baseline="0">
              <a:solidFill>
                <a:schemeClr val="tx1"/>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solidFill>
              <a:schemeClr val="tx1"/>
            </a:solid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solidFill>
              <a:schemeClr val="tx1"/>
            </a:solid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solidFill>
              <a:schemeClr val="tx1"/>
            </a:solid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gradFill>
              <a:gsLst>
                <a:gs pos="0">
                  <a:schemeClr val="accent1"/>
                </a:gs>
                <a:gs pos="100000">
                  <a:schemeClr val="accent1">
                    <a:lumMod val="84000"/>
                  </a:schemeClr>
                </a:gs>
              </a:gsLst>
              <a:lin ang="5400000" scaled="1"/>
            </a:gradFill>
            <a:ln>
              <a:solidFill>
                <a:schemeClr val="tx1"/>
              </a:solidFill>
            </a:ln>
            <a:effectLst>
              <a:outerShdw blurRad="76200" dir="18900000" sy="23000" kx="-1200000" algn="bl" rotWithShape="0">
                <a:prstClr val="black">
                  <a:alpha val="20000"/>
                </a:prstClr>
              </a:outerShdw>
            </a:effectLst>
          </c:spPr>
          <c:invertIfNegative val="0"/>
          <c:cat>
            <c:strRef>
              <c:f>Pivot!$A$4:$A$28</c:f>
              <c:strCache>
                <c:ptCount val="25"/>
                <c:pt idx="0">
                  <c:v>Andria Kimpton</c:v>
                </c:pt>
                <c:pt idx="1">
                  <c:v>Barr Faughny</c:v>
                </c:pt>
                <c:pt idx="2">
                  <c:v>Beverie Moffet</c:v>
                </c:pt>
                <c:pt idx="3">
                  <c:v>Brien Boise</c:v>
                </c:pt>
                <c:pt idx="4">
                  <c:v>Camilla Castle</c:v>
                </c:pt>
                <c:pt idx="5">
                  <c:v>Ches Bonnell</c:v>
                </c:pt>
                <c:pt idx="6">
                  <c:v>Curtice Advani</c:v>
                </c:pt>
                <c:pt idx="7">
                  <c:v>Dennison Crosswaite</c:v>
                </c:pt>
                <c:pt idx="8">
                  <c:v>Dotty Strutley</c:v>
                </c:pt>
                <c:pt idx="9">
                  <c:v>Gigi Bohling</c:v>
                </c:pt>
                <c:pt idx="10">
                  <c:v>Gunar Cockshoot</c:v>
                </c:pt>
                <c:pt idx="11">
                  <c:v>Husein Augar</c:v>
                </c:pt>
                <c:pt idx="12">
                  <c:v>Jan Morforth</c:v>
                </c:pt>
                <c:pt idx="13">
                  <c:v>Jehu Rudeforth</c:v>
                </c:pt>
                <c:pt idx="14">
                  <c:v>Kaine Padly</c:v>
                </c:pt>
                <c:pt idx="15">
                  <c:v>Karlen McCaffrey</c:v>
                </c:pt>
                <c:pt idx="16">
                  <c:v>Kelci Walkden</c:v>
                </c:pt>
                <c:pt idx="17">
                  <c:v>Madelene Upcott</c:v>
                </c:pt>
                <c:pt idx="18">
                  <c:v>Mallorie Waber</c:v>
                </c:pt>
                <c:pt idx="19">
                  <c:v>Marney O'Breen</c:v>
                </c:pt>
                <c:pt idx="20">
                  <c:v>Oby Sorrel</c:v>
                </c:pt>
                <c:pt idx="21">
                  <c:v>Rafaelita Blaksland</c:v>
                </c:pt>
                <c:pt idx="22">
                  <c:v>Roddy Speechley</c:v>
                </c:pt>
                <c:pt idx="23">
                  <c:v>Van Tuxwell</c:v>
                </c:pt>
                <c:pt idx="24">
                  <c:v>Wilone O'Kielt</c:v>
                </c:pt>
              </c:strCache>
            </c:strRef>
          </c:cat>
          <c:val>
            <c:numRef>
              <c:f>Pivot!$B$4:$B$28</c:f>
              <c:numCache>
                <c:formatCode>General</c:formatCode>
                <c:ptCount val="25"/>
                <c:pt idx="0">
                  <c:v>2381</c:v>
                </c:pt>
                <c:pt idx="1">
                  <c:v>2799</c:v>
                </c:pt>
                <c:pt idx="2">
                  <c:v>3657</c:v>
                </c:pt>
                <c:pt idx="3">
                  <c:v>2345</c:v>
                </c:pt>
                <c:pt idx="4">
                  <c:v>1340</c:v>
                </c:pt>
                <c:pt idx="5">
                  <c:v>3282</c:v>
                </c:pt>
                <c:pt idx="6">
                  <c:v>2914</c:v>
                </c:pt>
                <c:pt idx="7">
                  <c:v>3812</c:v>
                </c:pt>
                <c:pt idx="8">
                  <c:v>1526</c:v>
                </c:pt>
                <c:pt idx="9">
                  <c:v>1991</c:v>
                </c:pt>
                <c:pt idx="10">
                  <c:v>2632</c:v>
                </c:pt>
                <c:pt idx="11">
                  <c:v>2359</c:v>
                </c:pt>
                <c:pt idx="12">
                  <c:v>2046</c:v>
                </c:pt>
                <c:pt idx="13">
                  <c:v>3195</c:v>
                </c:pt>
                <c:pt idx="14">
                  <c:v>2956</c:v>
                </c:pt>
                <c:pt idx="15">
                  <c:v>3183</c:v>
                </c:pt>
                <c:pt idx="16">
                  <c:v>3546</c:v>
                </c:pt>
                <c:pt idx="17">
                  <c:v>3117</c:v>
                </c:pt>
                <c:pt idx="18">
                  <c:v>2544</c:v>
                </c:pt>
                <c:pt idx="19">
                  <c:v>3986</c:v>
                </c:pt>
                <c:pt idx="20">
                  <c:v>2939</c:v>
                </c:pt>
                <c:pt idx="21">
                  <c:v>1797</c:v>
                </c:pt>
                <c:pt idx="22">
                  <c:v>2142</c:v>
                </c:pt>
                <c:pt idx="23">
                  <c:v>1503</c:v>
                </c:pt>
                <c:pt idx="24">
                  <c:v>1119</c:v>
                </c:pt>
              </c:numCache>
            </c:numRef>
          </c:val>
          <c:extLst>
            <c:ext xmlns:c16="http://schemas.microsoft.com/office/drawing/2014/chart" uri="{C3380CC4-5D6E-409C-BE32-E72D297353CC}">
              <c16:uniqueId val="{00000000-B0C3-4928-B531-0453181CA55E}"/>
            </c:ext>
          </c:extLst>
        </c:ser>
        <c:dLbls>
          <c:showLegendKey val="0"/>
          <c:showVal val="0"/>
          <c:showCatName val="0"/>
          <c:showSerName val="0"/>
          <c:showPercent val="0"/>
          <c:showBubbleSize val="0"/>
        </c:dLbls>
        <c:gapWidth val="41"/>
        <c:axId val="1878231664"/>
        <c:axId val="1878232912"/>
      </c:barChart>
      <c:catAx>
        <c:axId val="1878231664"/>
        <c:scaling>
          <c:orientation val="minMax"/>
        </c:scaling>
        <c:delete val="0"/>
        <c:axPos val="b"/>
        <c:numFmt formatCode="General" sourceLinked="1"/>
        <c:majorTickMark val="out"/>
        <c:minorTickMark val="none"/>
        <c:tickLblPos val="nextTo"/>
        <c:spPr>
          <a:noFill/>
          <a:ln w="9525">
            <a:noFill/>
          </a:ln>
          <a:effectLst/>
        </c:spPr>
        <c:txPr>
          <a:bodyPr rot="-6000000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crossAx val="1878232912"/>
        <c:crosses val="autoZero"/>
        <c:auto val="1"/>
        <c:lblAlgn val="ctr"/>
        <c:lblOffset val="100"/>
        <c:noMultiLvlLbl val="0"/>
      </c:catAx>
      <c:valAx>
        <c:axId val="187823291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878231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6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Sales.xlsx]Pivot!PivotTable2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Country wise Boxes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Pivot!$E$3</c:f>
              <c:strCache>
                <c:ptCount val="1"/>
                <c:pt idx="0">
                  <c:v>Total</c:v>
                </c:pt>
              </c:strCache>
            </c:strRef>
          </c:tx>
          <c:dPt>
            <c:idx val="0"/>
            <c:bubble3D val="0"/>
            <c:explosion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B43-41D8-AEB1-6FE8BFAEC486}"/>
              </c:ext>
            </c:extLst>
          </c:dPt>
          <c:dPt>
            <c:idx val="1"/>
            <c:bubble3D val="0"/>
            <c:explosion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B43-41D8-AEB1-6FE8BFAEC48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B43-41D8-AEB1-6FE8BFAEC486}"/>
              </c:ext>
            </c:extLst>
          </c:dPt>
          <c:dPt>
            <c:idx val="3"/>
            <c:bubble3D val="0"/>
            <c:explosion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B43-41D8-AEB1-6FE8BFAEC486}"/>
              </c:ext>
            </c:extLst>
          </c:dPt>
          <c:dPt>
            <c:idx val="4"/>
            <c:bubble3D val="0"/>
            <c:explosion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B43-41D8-AEB1-6FE8BFAEC48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9B43-41D8-AEB1-6FE8BFAEC486}"/>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Pivot!$D$4:$D$9</c:f>
              <c:strCache>
                <c:ptCount val="6"/>
                <c:pt idx="0">
                  <c:v>Australia</c:v>
                </c:pt>
                <c:pt idx="1">
                  <c:v>Canada</c:v>
                </c:pt>
                <c:pt idx="2">
                  <c:v>India</c:v>
                </c:pt>
                <c:pt idx="3">
                  <c:v>New Zealand</c:v>
                </c:pt>
                <c:pt idx="4">
                  <c:v>UK</c:v>
                </c:pt>
                <c:pt idx="5">
                  <c:v>USA</c:v>
                </c:pt>
              </c:strCache>
            </c:strRef>
          </c:cat>
          <c:val>
            <c:numRef>
              <c:f>Pivot!$E$4:$E$9</c:f>
              <c:numCache>
                <c:formatCode>General</c:formatCode>
                <c:ptCount val="6"/>
                <c:pt idx="0">
                  <c:v>13393</c:v>
                </c:pt>
                <c:pt idx="1">
                  <c:v>11406</c:v>
                </c:pt>
                <c:pt idx="2">
                  <c:v>9101</c:v>
                </c:pt>
                <c:pt idx="3">
                  <c:v>11894</c:v>
                </c:pt>
                <c:pt idx="4">
                  <c:v>10351</c:v>
                </c:pt>
                <c:pt idx="5">
                  <c:v>8966</c:v>
                </c:pt>
              </c:numCache>
            </c:numRef>
          </c:val>
          <c:extLst>
            <c:ext xmlns:c16="http://schemas.microsoft.com/office/drawing/2014/chart" uri="{C3380CC4-5D6E-409C-BE32-E72D297353CC}">
              <c16:uniqueId val="{0000000C-9B43-41D8-AEB1-6FE8BFAEC48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Sales.xlsx]Pivot!PivotTable4</c:name>
    <c:fmtId val="4"/>
  </c:pivotSource>
  <c:chart>
    <c:title>
      <c:tx>
        <c:rich>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r>
              <a:rPr lang="en-US">
                <a:solidFill>
                  <a:schemeClr val="tx1"/>
                </a:solidFill>
              </a:rPr>
              <a:t>Productwise Boxes</a:t>
            </a:r>
          </a:p>
        </c:rich>
      </c:tx>
      <c:overlay val="0"/>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solidFill>
            <a:schemeClr val="tx1"/>
          </a:solidFill>
        </a:ln>
        <a:effectLst>
          <a:glow rad="228600">
            <a:schemeClr val="accent2">
              <a:satMod val="175000"/>
              <a:alpha val="40000"/>
            </a:schemeClr>
          </a:glow>
          <a:innerShdw blurRad="63500" dist="50800" dir="18900000">
            <a:prstClr val="black">
              <a:alpha val="50000"/>
            </a:prstClr>
          </a:innerShdw>
        </a:effectLst>
      </c:spPr>
      <c:txPr>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Pivot!$H$3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Pivot!$G$4:$G$11</c:f>
              <c:strCache>
                <c:ptCount val="8"/>
                <c:pt idx="0">
                  <c:v>50% Dark Bites</c:v>
                </c:pt>
                <c:pt idx="1">
                  <c:v>Drinking Coco</c:v>
                </c:pt>
                <c:pt idx="2">
                  <c:v>Eclairs</c:v>
                </c:pt>
                <c:pt idx="3">
                  <c:v>Organic Choco Syrup</c:v>
                </c:pt>
                <c:pt idx="4">
                  <c:v>Peanut Butter Cubes</c:v>
                </c:pt>
                <c:pt idx="5">
                  <c:v>Smooth Sliky Salty</c:v>
                </c:pt>
                <c:pt idx="6">
                  <c:v>Spicy Special Slims</c:v>
                </c:pt>
                <c:pt idx="7">
                  <c:v>White Choc</c:v>
                </c:pt>
              </c:strCache>
            </c:strRef>
          </c:cat>
          <c:val>
            <c:numRef>
              <c:f>Pivot!$H$4:$H$11</c:f>
              <c:numCache>
                <c:formatCode>General</c:formatCode>
                <c:ptCount val="8"/>
                <c:pt idx="0">
                  <c:v>21</c:v>
                </c:pt>
                <c:pt idx="1">
                  <c:v>20</c:v>
                </c:pt>
                <c:pt idx="2">
                  <c:v>25</c:v>
                </c:pt>
                <c:pt idx="3">
                  <c:v>23</c:v>
                </c:pt>
                <c:pt idx="4">
                  <c:v>20</c:v>
                </c:pt>
                <c:pt idx="5">
                  <c:v>27</c:v>
                </c:pt>
                <c:pt idx="6">
                  <c:v>20</c:v>
                </c:pt>
                <c:pt idx="7">
                  <c:v>20</c:v>
                </c:pt>
              </c:numCache>
            </c:numRef>
          </c:val>
          <c:smooth val="0"/>
          <c:extLst>
            <c:ext xmlns:c16="http://schemas.microsoft.com/office/drawing/2014/chart" uri="{C3380CC4-5D6E-409C-BE32-E72D297353CC}">
              <c16:uniqueId val="{00000000-8F51-49C7-AAC9-7109A71A1456}"/>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491840576"/>
        <c:axId val="1491838912"/>
      </c:lineChart>
      <c:catAx>
        <c:axId val="149184057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491838912"/>
        <c:crosses val="autoZero"/>
        <c:auto val="1"/>
        <c:lblAlgn val="ctr"/>
        <c:lblOffset val="100"/>
        <c:noMultiLvlLbl val="0"/>
      </c:catAx>
      <c:valAx>
        <c:axId val="1491838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91840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Sales.xlsx]Pivot!PivotTable8</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6"/>
          </a:solidFill>
          <a:ln>
            <a:noFill/>
          </a:ln>
          <a:effectLst>
            <a:outerShdw blurRad="254000" sx="102000" sy="102000" algn="ctr" rotWithShape="0">
              <a:prstClr val="black">
                <a:alpha val="20000"/>
              </a:prstClr>
            </a:outerShdw>
          </a:effectLst>
        </c:spPr>
        <c:dLbl>
          <c:idx val="0"/>
          <c:layout>
            <c:manualLayout>
              <c:x val="-0.12865497076023391"/>
              <c:y val="-5.387206529803341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0.15497076023391812"/>
              <c:y val="-8.080809794705012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4"/>
          </a:solidFill>
          <a:ln>
            <a:noFill/>
          </a:ln>
          <a:effectLst>
            <a:outerShdw blurRad="254000" sx="102000" sy="102000" algn="ctr" rotWithShape="0">
              <a:prstClr val="black">
                <a:alpha val="20000"/>
              </a:prstClr>
            </a:outerShdw>
          </a:effectLst>
        </c:spPr>
        <c:dLbl>
          <c:idx val="0"/>
          <c:layout>
            <c:manualLayout>
              <c:x val="-0.25438596491228077"/>
              <c:y val="1.077441305960668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3"/>
          </a:solidFill>
          <a:ln>
            <a:noFill/>
          </a:ln>
          <a:effectLst>
            <a:outerShdw blurRad="254000" sx="102000" sy="102000" algn="ctr" rotWithShape="0">
              <a:prstClr val="black">
                <a:alpha val="20000"/>
              </a:prstClr>
            </a:outerShdw>
          </a:effectLst>
        </c:spPr>
        <c:dLbl>
          <c:idx val="0"/>
          <c:layout>
            <c:manualLayout>
              <c:x val="0.33918128654970747"/>
              <c:y val="1.616161958941002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2"/>
          </a:solidFill>
          <a:ln>
            <a:noFill/>
          </a:ln>
          <a:effectLst>
            <a:outerShdw blurRad="254000" sx="102000" sy="102000" algn="ctr" rotWithShape="0">
              <a:prstClr val="black">
                <a:alpha val="20000"/>
              </a:prstClr>
            </a:outerShdw>
          </a:effectLst>
        </c:spPr>
        <c:dLbl>
          <c:idx val="0"/>
          <c:layout>
            <c:manualLayout>
              <c:x val="0.14912280701754385"/>
              <c:y val="-5.92592718278367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5"/>
          </a:solidFill>
          <a:ln>
            <a:noFill/>
          </a:ln>
          <a:effectLst>
            <a:outerShdw blurRad="254000" sx="102000" sy="102000" algn="ctr" rotWithShape="0">
              <a:prstClr val="black">
                <a:alpha val="20000"/>
              </a:prstClr>
            </a:outerShdw>
          </a:effectLst>
        </c:spPr>
        <c:dLbl>
          <c:idx val="0"/>
          <c:layout>
            <c:manualLayout>
              <c:x val="-0.195906432748538"/>
              <c:y val="-6.464647835764009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0.15497076023391812"/>
              <c:y val="-8.080809794705012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chemeClr val="accent1"/>
          </a:solidFill>
          <a:ln>
            <a:noFill/>
          </a:ln>
          <a:effectLst>
            <a:outerShdw blurRad="254000" sx="102000" sy="102000" algn="ctr" rotWithShape="0">
              <a:prstClr val="black">
                <a:alpha val="20000"/>
              </a:prstClr>
            </a:outerShdw>
          </a:effectLst>
        </c:spPr>
        <c:dLbl>
          <c:idx val="0"/>
          <c:layout>
            <c:manualLayout>
              <c:x val="0.14912280701754385"/>
              <c:y val="-5.92592718278367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0.33918128654970747"/>
              <c:y val="1.616161958941002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0.25438596491228077"/>
              <c:y val="1.077441305960668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2"/>
        <c:spPr>
          <a:solidFill>
            <a:schemeClr val="accent1"/>
          </a:solidFill>
          <a:ln>
            <a:noFill/>
          </a:ln>
          <a:effectLst>
            <a:outerShdw blurRad="254000" sx="102000" sy="102000" algn="ctr" rotWithShape="0">
              <a:prstClr val="black">
                <a:alpha val="20000"/>
              </a:prstClr>
            </a:outerShdw>
          </a:effectLst>
        </c:spPr>
        <c:dLbl>
          <c:idx val="0"/>
          <c:layout>
            <c:manualLayout>
              <c:x val="-0.195906432748538"/>
              <c:y val="-6.464647835764009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0.12865497076023391"/>
              <c:y val="-5.387206529803341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5"/>
        <c:spPr>
          <a:solidFill>
            <a:schemeClr val="accent1"/>
          </a:solidFill>
          <a:ln>
            <a:noFill/>
          </a:ln>
          <a:effectLst>
            <a:outerShdw blurRad="254000" sx="102000" sy="102000" algn="ctr" rotWithShape="0">
              <a:prstClr val="black">
                <a:alpha val="20000"/>
              </a:prstClr>
            </a:outerShdw>
          </a:effectLst>
        </c:spPr>
        <c:dLbl>
          <c:idx val="0"/>
          <c:layout>
            <c:manualLayout>
              <c:x val="0.15497076023391812"/>
              <c:y val="-8.080809794705012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6"/>
        <c:spPr>
          <a:solidFill>
            <a:schemeClr val="accent1"/>
          </a:solidFill>
          <a:ln>
            <a:noFill/>
          </a:ln>
          <a:effectLst>
            <a:outerShdw blurRad="254000" sx="102000" sy="102000" algn="ctr" rotWithShape="0">
              <a:prstClr val="black">
                <a:alpha val="20000"/>
              </a:prstClr>
            </a:outerShdw>
          </a:effectLst>
        </c:spPr>
        <c:dLbl>
          <c:idx val="0"/>
          <c:layout>
            <c:manualLayout>
              <c:x val="0.14912280701754385"/>
              <c:y val="-5.92592718278367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7"/>
        <c:spPr>
          <a:solidFill>
            <a:schemeClr val="accent1"/>
          </a:solidFill>
          <a:ln>
            <a:noFill/>
          </a:ln>
          <a:effectLst>
            <a:outerShdw blurRad="254000" sx="102000" sy="102000" algn="ctr" rotWithShape="0">
              <a:prstClr val="black">
                <a:alpha val="20000"/>
              </a:prstClr>
            </a:outerShdw>
          </a:effectLst>
        </c:spPr>
        <c:dLbl>
          <c:idx val="0"/>
          <c:layout>
            <c:manualLayout>
              <c:x val="0.33918128654970747"/>
              <c:y val="1.616161958941002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8"/>
        <c:spPr>
          <a:solidFill>
            <a:schemeClr val="accent1"/>
          </a:solidFill>
          <a:ln>
            <a:noFill/>
          </a:ln>
          <a:effectLst>
            <a:outerShdw blurRad="254000" sx="102000" sy="102000" algn="ctr" rotWithShape="0">
              <a:prstClr val="black">
                <a:alpha val="20000"/>
              </a:prstClr>
            </a:outerShdw>
          </a:effectLst>
        </c:spPr>
        <c:dLbl>
          <c:idx val="0"/>
          <c:layout>
            <c:manualLayout>
              <c:x val="-0.25438596491228077"/>
              <c:y val="1.077441305960668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9"/>
        <c:spPr>
          <a:solidFill>
            <a:schemeClr val="accent1"/>
          </a:solidFill>
          <a:ln>
            <a:noFill/>
          </a:ln>
          <a:effectLst>
            <a:outerShdw blurRad="254000" sx="102000" sy="102000" algn="ctr" rotWithShape="0">
              <a:prstClr val="black">
                <a:alpha val="20000"/>
              </a:prstClr>
            </a:outerShdw>
          </a:effectLst>
        </c:spPr>
        <c:dLbl>
          <c:idx val="0"/>
          <c:layout>
            <c:manualLayout>
              <c:x val="-0.195906432748538"/>
              <c:y val="-6.464647835764009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0"/>
        <c:spPr>
          <a:solidFill>
            <a:schemeClr val="accent1"/>
          </a:solidFill>
          <a:ln>
            <a:noFill/>
          </a:ln>
          <a:effectLst>
            <a:outerShdw blurRad="254000" sx="102000" sy="102000" algn="ctr" rotWithShape="0">
              <a:prstClr val="black">
                <a:alpha val="20000"/>
              </a:prstClr>
            </a:outerShdw>
          </a:effectLst>
        </c:spPr>
        <c:dLbl>
          <c:idx val="0"/>
          <c:layout>
            <c:manualLayout>
              <c:x val="-0.12865497076023391"/>
              <c:y val="-5.387206529803341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doughnutChart>
        <c:varyColors val="1"/>
        <c:ser>
          <c:idx val="0"/>
          <c:order val="0"/>
          <c:tx>
            <c:strRef>
              <c:f>Pivot!$N$3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11F-406A-B60A-4FD5207B903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11F-406A-B60A-4FD5207B903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11F-406A-B60A-4FD5207B903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11F-406A-B60A-4FD5207B903B}"/>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11F-406A-B60A-4FD5207B903B}"/>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E11F-406A-B60A-4FD5207B903B}"/>
              </c:ext>
            </c:extLst>
          </c:dPt>
          <c:dLbls>
            <c:dLbl>
              <c:idx val="0"/>
              <c:layout>
                <c:manualLayout>
                  <c:x val="0.15497076023391812"/>
                  <c:y val="-8.080809794705012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11F-406A-B60A-4FD5207B903B}"/>
                </c:ext>
              </c:extLst>
            </c:dLbl>
            <c:dLbl>
              <c:idx val="1"/>
              <c:layout>
                <c:manualLayout>
                  <c:x val="0.14912280701754385"/>
                  <c:y val="-5.92592718278367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11F-406A-B60A-4FD5207B903B}"/>
                </c:ext>
              </c:extLst>
            </c:dLbl>
            <c:dLbl>
              <c:idx val="2"/>
              <c:layout>
                <c:manualLayout>
                  <c:x val="0.33918128654970747"/>
                  <c:y val="1.616161958941002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11F-406A-B60A-4FD5207B903B}"/>
                </c:ext>
              </c:extLst>
            </c:dLbl>
            <c:dLbl>
              <c:idx val="3"/>
              <c:layout>
                <c:manualLayout>
                  <c:x val="-0.25438596491228077"/>
                  <c:y val="1.077441305960668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11F-406A-B60A-4FD5207B903B}"/>
                </c:ext>
              </c:extLst>
            </c:dLbl>
            <c:dLbl>
              <c:idx val="4"/>
              <c:layout>
                <c:manualLayout>
                  <c:x val="-0.195906432748538"/>
                  <c:y val="-6.464647835764009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E11F-406A-B60A-4FD5207B903B}"/>
                </c:ext>
              </c:extLst>
            </c:dLbl>
            <c:dLbl>
              <c:idx val="5"/>
              <c:layout>
                <c:manualLayout>
                  <c:x val="-0.12865497076023391"/>
                  <c:y val="-5.387206529803341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E11F-406A-B60A-4FD5207B903B}"/>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Pivot!$M$4:$M$9</c:f>
              <c:strCache>
                <c:ptCount val="6"/>
                <c:pt idx="0">
                  <c:v>Australia</c:v>
                </c:pt>
                <c:pt idx="1">
                  <c:v>Canada</c:v>
                </c:pt>
                <c:pt idx="2">
                  <c:v>India</c:v>
                </c:pt>
                <c:pt idx="3">
                  <c:v>New Zealand</c:v>
                </c:pt>
                <c:pt idx="4">
                  <c:v>UK</c:v>
                </c:pt>
                <c:pt idx="5">
                  <c:v>USA</c:v>
                </c:pt>
              </c:strCache>
            </c:strRef>
          </c:cat>
          <c:val>
            <c:numRef>
              <c:f>Pivot!$N$4:$N$9</c:f>
              <c:numCache>
                <c:formatCode>General</c:formatCode>
                <c:ptCount val="6"/>
                <c:pt idx="0">
                  <c:v>13393</c:v>
                </c:pt>
                <c:pt idx="1">
                  <c:v>11406</c:v>
                </c:pt>
                <c:pt idx="2">
                  <c:v>9101</c:v>
                </c:pt>
                <c:pt idx="3">
                  <c:v>11894</c:v>
                </c:pt>
                <c:pt idx="4">
                  <c:v>10351</c:v>
                </c:pt>
                <c:pt idx="5">
                  <c:v>8966</c:v>
                </c:pt>
              </c:numCache>
            </c:numRef>
          </c:val>
          <c:extLst>
            <c:ext xmlns:c16="http://schemas.microsoft.com/office/drawing/2014/chart" uri="{C3380CC4-5D6E-409C-BE32-E72D297353CC}">
              <c16:uniqueId val="{0000000C-E11F-406A-B60A-4FD5207B903B}"/>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Sales.xlsx]Pivot!PivotTable9</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Person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Pivot!$Q$3:$Q$4</c:f>
              <c:strCache>
                <c:ptCount val="1"/>
                <c:pt idx="0">
                  <c:v>Australia</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Pivot!$P$5:$P$29</c:f>
              <c:strCache>
                <c:ptCount val="25"/>
                <c:pt idx="0">
                  <c:v>Andria Kimpton</c:v>
                </c:pt>
                <c:pt idx="1">
                  <c:v>Barr Faughny</c:v>
                </c:pt>
                <c:pt idx="2">
                  <c:v>Beverie Moffet</c:v>
                </c:pt>
                <c:pt idx="3">
                  <c:v>Brien Boise</c:v>
                </c:pt>
                <c:pt idx="4">
                  <c:v>Camilla Castle</c:v>
                </c:pt>
                <c:pt idx="5">
                  <c:v>Ches Bonnell</c:v>
                </c:pt>
                <c:pt idx="6">
                  <c:v>Curtice Advani</c:v>
                </c:pt>
                <c:pt idx="7">
                  <c:v>Dennison Crosswaite</c:v>
                </c:pt>
                <c:pt idx="8">
                  <c:v>Dotty Strutley</c:v>
                </c:pt>
                <c:pt idx="9">
                  <c:v>Gigi Bohling</c:v>
                </c:pt>
                <c:pt idx="10">
                  <c:v>Gunar Cockshoot</c:v>
                </c:pt>
                <c:pt idx="11">
                  <c:v>Husein Augar</c:v>
                </c:pt>
                <c:pt idx="12">
                  <c:v>Jan Morforth</c:v>
                </c:pt>
                <c:pt idx="13">
                  <c:v>Jehu Rudeforth</c:v>
                </c:pt>
                <c:pt idx="14">
                  <c:v>Kaine Padly</c:v>
                </c:pt>
                <c:pt idx="15">
                  <c:v>Karlen McCaffrey</c:v>
                </c:pt>
                <c:pt idx="16">
                  <c:v>Kelci Walkden</c:v>
                </c:pt>
                <c:pt idx="17">
                  <c:v>Madelene Upcott</c:v>
                </c:pt>
                <c:pt idx="18">
                  <c:v>Mallorie Waber</c:v>
                </c:pt>
                <c:pt idx="19">
                  <c:v>Marney O'Breen</c:v>
                </c:pt>
                <c:pt idx="20">
                  <c:v>Oby Sorrel</c:v>
                </c:pt>
                <c:pt idx="21">
                  <c:v>Rafaelita Blaksland</c:v>
                </c:pt>
                <c:pt idx="22">
                  <c:v>Roddy Speechley</c:v>
                </c:pt>
                <c:pt idx="23">
                  <c:v>Van Tuxwell</c:v>
                </c:pt>
                <c:pt idx="24">
                  <c:v>Wilone O'Kielt</c:v>
                </c:pt>
              </c:strCache>
            </c:strRef>
          </c:cat>
          <c:val>
            <c:numRef>
              <c:f>Pivot!$Q$5:$Q$29</c:f>
              <c:numCache>
                <c:formatCode>General</c:formatCode>
                <c:ptCount val="25"/>
                <c:pt idx="0">
                  <c:v>377</c:v>
                </c:pt>
                <c:pt idx="1">
                  <c:v>77</c:v>
                </c:pt>
                <c:pt idx="2">
                  <c:v>823</c:v>
                </c:pt>
                <c:pt idx="3">
                  <c:v>212</c:v>
                </c:pt>
                <c:pt idx="4">
                  <c:v>388</c:v>
                </c:pt>
                <c:pt idx="5">
                  <c:v>649</c:v>
                </c:pt>
                <c:pt idx="6">
                  <c:v>297</c:v>
                </c:pt>
                <c:pt idx="7">
                  <c:v>578</c:v>
                </c:pt>
                <c:pt idx="8">
                  <c:v>94</c:v>
                </c:pt>
                <c:pt idx="9">
                  <c:v>578</c:v>
                </c:pt>
                <c:pt idx="10">
                  <c:v>880</c:v>
                </c:pt>
                <c:pt idx="11">
                  <c:v>303</c:v>
                </c:pt>
                <c:pt idx="12">
                  <c:v>511</c:v>
                </c:pt>
                <c:pt idx="13">
                  <c:v>1167</c:v>
                </c:pt>
                <c:pt idx="14">
                  <c:v>1280</c:v>
                </c:pt>
                <c:pt idx="15">
                  <c:v>924</c:v>
                </c:pt>
                <c:pt idx="16">
                  <c:v>960</c:v>
                </c:pt>
                <c:pt idx="17">
                  <c:v>500</c:v>
                </c:pt>
                <c:pt idx="18">
                  <c:v>476</c:v>
                </c:pt>
                <c:pt idx="19">
                  <c:v>271</c:v>
                </c:pt>
                <c:pt idx="20">
                  <c:v>419</c:v>
                </c:pt>
                <c:pt idx="21">
                  <c:v>902</c:v>
                </c:pt>
                <c:pt idx="23">
                  <c:v>527</c:v>
                </c:pt>
                <c:pt idx="24">
                  <c:v>200</c:v>
                </c:pt>
              </c:numCache>
            </c:numRef>
          </c:val>
          <c:smooth val="0"/>
          <c:extLst>
            <c:ext xmlns:c16="http://schemas.microsoft.com/office/drawing/2014/chart" uri="{C3380CC4-5D6E-409C-BE32-E72D297353CC}">
              <c16:uniqueId val="{00000000-4BF7-4ADF-AAA4-ECCD70B2486E}"/>
            </c:ext>
          </c:extLst>
        </c:ser>
        <c:ser>
          <c:idx val="1"/>
          <c:order val="1"/>
          <c:tx>
            <c:strRef>
              <c:f>Pivot!$R$3:$R$4</c:f>
              <c:strCache>
                <c:ptCount val="1"/>
                <c:pt idx="0">
                  <c:v>Canada</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Pivot!$P$5:$P$29</c:f>
              <c:strCache>
                <c:ptCount val="25"/>
                <c:pt idx="0">
                  <c:v>Andria Kimpton</c:v>
                </c:pt>
                <c:pt idx="1">
                  <c:v>Barr Faughny</c:v>
                </c:pt>
                <c:pt idx="2">
                  <c:v>Beverie Moffet</c:v>
                </c:pt>
                <c:pt idx="3">
                  <c:v>Brien Boise</c:v>
                </c:pt>
                <c:pt idx="4">
                  <c:v>Camilla Castle</c:v>
                </c:pt>
                <c:pt idx="5">
                  <c:v>Ches Bonnell</c:v>
                </c:pt>
                <c:pt idx="6">
                  <c:v>Curtice Advani</c:v>
                </c:pt>
                <c:pt idx="7">
                  <c:v>Dennison Crosswaite</c:v>
                </c:pt>
                <c:pt idx="8">
                  <c:v>Dotty Strutley</c:v>
                </c:pt>
                <c:pt idx="9">
                  <c:v>Gigi Bohling</c:v>
                </c:pt>
                <c:pt idx="10">
                  <c:v>Gunar Cockshoot</c:v>
                </c:pt>
                <c:pt idx="11">
                  <c:v>Husein Augar</c:v>
                </c:pt>
                <c:pt idx="12">
                  <c:v>Jan Morforth</c:v>
                </c:pt>
                <c:pt idx="13">
                  <c:v>Jehu Rudeforth</c:v>
                </c:pt>
                <c:pt idx="14">
                  <c:v>Kaine Padly</c:v>
                </c:pt>
                <c:pt idx="15">
                  <c:v>Karlen McCaffrey</c:v>
                </c:pt>
                <c:pt idx="16">
                  <c:v>Kelci Walkden</c:v>
                </c:pt>
                <c:pt idx="17">
                  <c:v>Madelene Upcott</c:v>
                </c:pt>
                <c:pt idx="18">
                  <c:v>Mallorie Waber</c:v>
                </c:pt>
                <c:pt idx="19">
                  <c:v>Marney O'Breen</c:v>
                </c:pt>
                <c:pt idx="20">
                  <c:v>Oby Sorrel</c:v>
                </c:pt>
                <c:pt idx="21">
                  <c:v>Rafaelita Blaksland</c:v>
                </c:pt>
                <c:pt idx="22">
                  <c:v>Roddy Speechley</c:v>
                </c:pt>
                <c:pt idx="23">
                  <c:v>Van Tuxwell</c:v>
                </c:pt>
                <c:pt idx="24">
                  <c:v>Wilone O'Kielt</c:v>
                </c:pt>
              </c:strCache>
            </c:strRef>
          </c:cat>
          <c:val>
            <c:numRef>
              <c:f>Pivot!$R$5:$R$29</c:f>
              <c:numCache>
                <c:formatCode>General</c:formatCode>
                <c:ptCount val="25"/>
                <c:pt idx="0">
                  <c:v>900</c:v>
                </c:pt>
                <c:pt idx="1">
                  <c:v>376</c:v>
                </c:pt>
                <c:pt idx="2">
                  <c:v>940</c:v>
                </c:pt>
                <c:pt idx="3">
                  <c:v>538</c:v>
                </c:pt>
                <c:pt idx="4">
                  <c:v>318</c:v>
                </c:pt>
                <c:pt idx="5">
                  <c:v>664</c:v>
                </c:pt>
                <c:pt idx="6">
                  <c:v>99</c:v>
                </c:pt>
                <c:pt idx="7">
                  <c:v>741</c:v>
                </c:pt>
                <c:pt idx="8">
                  <c:v>237</c:v>
                </c:pt>
                <c:pt idx="9">
                  <c:v>212</c:v>
                </c:pt>
                <c:pt idx="10">
                  <c:v>226</c:v>
                </c:pt>
                <c:pt idx="11">
                  <c:v>819</c:v>
                </c:pt>
                <c:pt idx="12">
                  <c:v>305</c:v>
                </c:pt>
                <c:pt idx="13">
                  <c:v>175</c:v>
                </c:pt>
                <c:pt idx="14">
                  <c:v>316</c:v>
                </c:pt>
                <c:pt idx="15">
                  <c:v>488</c:v>
                </c:pt>
                <c:pt idx="16">
                  <c:v>316</c:v>
                </c:pt>
                <c:pt idx="17">
                  <c:v>242</c:v>
                </c:pt>
                <c:pt idx="18">
                  <c:v>746</c:v>
                </c:pt>
                <c:pt idx="19">
                  <c:v>1775</c:v>
                </c:pt>
                <c:pt idx="20">
                  <c:v>158</c:v>
                </c:pt>
                <c:pt idx="21">
                  <c:v>142</c:v>
                </c:pt>
                <c:pt idx="22">
                  <c:v>452</c:v>
                </c:pt>
                <c:pt idx="23">
                  <c:v>221</c:v>
                </c:pt>
              </c:numCache>
            </c:numRef>
          </c:val>
          <c:smooth val="0"/>
          <c:extLst>
            <c:ext xmlns:c16="http://schemas.microsoft.com/office/drawing/2014/chart" uri="{C3380CC4-5D6E-409C-BE32-E72D297353CC}">
              <c16:uniqueId val="{00000001-4BF7-4ADF-AAA4-ECCD70B2486E}"/>
            </c:ext>
          </c:extLst>
        </c:ser>
        <c:ser>
          <c:idx val="2"/>
          <c:order val="2"/>
          <c:tx>
            <c:strRef>
              <c:f>Pivot!$S$3:$S$4</c:f>
              <c:strCache>
                <c:ptCount val="1"/>
                <c:pt idx="0">
                  <c:v>India</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Pivot!$P$5:$P$29</c:f>
              <c:strCache>
                <c:ptCount val="25"/>
                <c:pt idx="0">
                  <c:v>Andria Kimpton</c:v>
                </c:pt>
                <c:pt idx="1">
                  <c:v>Barr Faughny</c:v>
                </c:pt>
                <c:pt idx="2">
                  <c:v>Beverie Moffet</c:v>
                </c:pt>
                <c:pt idx="3">
                  <c:v>Brien Boise</c:v>
                </c:pt>
                <c:pt idx="4">
                  <c:v>Camilla Castle</c:v>
                </c:pt>
                <c:pt idx="5">
                  <c:v>Ches Bonnell</c:v>
                </c:pt>
                <c:pt idx="6">
                  <c:v>Curtice Advani</c:v>
                </c:pt>
                <c:pt idx="7">
                  <c:v>Dennison Crosswaite</c:v>
                </c:pt>
                <c:pt idx="8">
                  <c:v>Dotty Strutley</c:v>
                </c:pt>
                <c:pt idx="9">
                  <c:v>Gigi Bohling</c:v>
                </c:pt>
                <c:pt idx="10">
                  <c:v>Gunar Cockshoot</c:v>
                </c:pt>
                <c:pt idx="11">
                  <c:v>Husein Augar</c:v>
                </c:pt>
                <c:pt idx="12">
                  <c:v>Jan Morforth</c:v>
                </c:pt>
                <c:pt idx="13">
                  <c:v>Jehu Rudeforth</c:v>
                </c:pt>
                <c:pt idx="14">
                  <c:v>Kaine Padly</c:v>
                </c:pt>
                <c:pt idx="15">
                  <c:v>Karlen McCaffrey</c:v>
                </c:pt>
                <c:pt idx="16">
                  <c:v>Kelci Walkden</c:v>
                </c:pt>
                <c:pt idx="17">
                  <c:v>Madelene Upcott</c:v>
                </c:pt>
                <c:pt idx="18">
                  <c:v>Mallorie Waber</c:v>
                </c:pt>
                <c:pt idx="19">
                  <c:v>Marney O'Breen</c:v>
                </c:pt>
                <c:pt idx="20">
                  <c:v>Oby Sorrel</c:v>
                </c:pt>
                <c:pt idx="21">
                  <c:v>Rafaelita Blaksland</c:v>
                </c:pt>
                <c:pt idx="22">
                  <c:v>Roddy Speechley</c:v>
                </c:pt>
                <c:pt idx="23">
                  <c:v>Van Tuxwell</c:v>
                </c:pt>
                <c:pt idx="24">
                  <c:v>Wilone O'Kielt</c:v>
                </c:pt>
              </c:strCache>
            </c:strRef>
          </c:cat>
          <c:val>
            <c:numRef>
              <c:f>Pivot!$S$5:$S$29</c:f>
              <c:numCache>
                <c:formatCode>General</c:formatCode>
                <c:ptCount val="25"/>
                <c:pt idx="0">
                  <c:v>359</c:v>
                </c:pt>
                <c:pt idx="1">
                  <c:v>706</c:v>
                </c:pt>
                <c:pt idx="2">
                  <c:v>261</c:v>
                </c:pt>
                <c:pt idx="3">
                  <c:v>602</c:v>
                </c:pt>
                <c:pt idx="5">
                  <c:v>659</c:v>
                </c:pt>
                <c:pt idx="6">
                  <c:v>498</c:v>
                </c:pt>
                <c:pt idx="7">
                  <c:v>483</c:v>
                </c:pt>
                <c:pt idx="8">
                  <c:v>73</c:v>
                </c:pt>
                <c:pt idx="9">
                  <c:v>159</c:v>
                </c:pt>
                <c:pt idx="10">
                  <c:v>594</c:v>
                </c:pt>
                <c:pt idx="11">
                  <c:v>58</c:v>
                </c:pt>
                <c:pt idx="12">
                  <c:v>395</c:v>
                </c:pt>
                <c:pt idx="13">
                  <c:v>369</c:v>
                </c:pt>
                <c:pt idx="14">
                  <c:v>301</c:v>
                </c:pt>
                <c:pt idx="15">
                  <c:v>636</c:v>
                </c:pt>
                <c:pt idx="16">
                  <c:v>802</c:v>
                </c:pt>
                <c:pt idx="17">
                  <c:v>183</c:v>
                </c:pt>
                <c:pt idx="18">
                  <c:v>144</c:v>
                </c:pt>
                <c:pt idx="19">
                  <c:v>323</c:v>
                </c:pt>
                <c:pt idx="20">
                  <c:v>471</c:v>
                </c:pt>
                <c:pt idx="21">
                  <c:v>423</c:v>
                </c:pt>
                <c:pt idx="22">
                  <c:v>206</c:v>
                </c:pt>
                <c:pt idx="23">
                  <c:v>44</c:v>
                </c:pt>
                <c:pt idx="24">
                  <c:v>352</c:v>
                </c:pt>
              </c:numCache>
            </c:numRef>
          </c:val>
          <c:smooth val="0"/>
          <c:extLst>
            <c:ext xmlns:c16="http://schemas.microsoft.com/office/drawing/2014/chart" uri="{C3380CC4-5D6E-409C-BE32-E72D297353CC}">
              <c16:uniqueId val="{00000002-4BF7-4ADF-AAA4-ECCD70B2486E}"/>
            </c:ext>
          </c:extLst>
        </c:ser>
        <c:ser>
          <c:idx val="3"/>
          <c:order val="3"/>
          <c:tx>
            <c:strRef>
              <c:f>Pivot!$T$3:$T$4</c:f>
              <c:strCache>
                <c:ptCount val="1"/>
                <c:pt idx="0">
                  <c:v>New Zealand</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Pivot!$P$5:$P$29</c:f>
              <c:strCache>
                <c:ptCount val="25"/>
                <c:pt idx="0">
                  <c:v>Andria Kimpton</c:v>
                </c:pt>
                <c:pt idx="1">
                  <c:v>Barr Faughny</c:v>
                </c:pt>
                <c:pt idx="2">
                  <c:v>Beverie Moffet</c:v>
                </c:pt>
                <c:pt idx="3">
                  <c:v>Brien Boise</c:v>
                </c:pt>
                <c:pt idx="4">
                  <c:v>Camilla Castle</c:v>
                </c:pt>
                <c:pt idx="5">
                  <c:v>Ches Bonnell</c:v>
                </c:pt>
                <c:pt idx="6">
                  <c:v>Curtice Advani</c:v>
                </c:pt>
                <c:pt idx="7">
                  <c:v>Dennison Crosswaite</c:v>
                </c:pt>
                <c:pt idx="8">
                  <c:v>Dotty Strutley</c:v>
                </c:pt>
                <c:pt idx="9">
                  <c:v>Gigi Bohling</c:v>
                </c:pt>
                <c:pt idx="10">
                  <c:v>Gunar Cockshoot</c:v>
                </c:pt>
                <c:pt idx="11">
                  <c:v>Husein Augar</c:v>
                </c:pt>
                <c:pt idx="12">
                  <c:v>Jan Morforth</c:v>
                </c:pt>
                <c:pt idx="13">
                  <c:v>Jehu Rudeforth</c:v>
                </c:pt>
                <c:pt idx="14">
                  <c:v>Kaine Padly</c:v>
                </c:pt>
                <c:pt idx="15">
                  <c:v>Karlen McCaffrey</c:v>
                </c:pt>
                <c:pt idx="16">
                  <c:v>Kelci Walkden</c:v>
                </c:pt>
                <c:pt idx="17">
                  <c:v>Madelene Upcott</c:v>
                </c:pt>
                <c:pt idx="18">
                  <c:v>Mallorie Waber</c:v>
                </c:pt>
                <c:pt idx="19">
                  <c:v>Marney O'Breen</c:v>
                </c:pt>
                <c:pt idx="20">
                  <c:v>Oby Sorrel</c:v>
                </c:pt>
                <c:pt idx="21">
                  <c:v>Rafaelita Blaksland</c:v>
                </c:pt>
                <c:pt idx="22">
                  <c:v>Roddy Speechley</c:v>
                </c:pt>
                <c:pt idx="23">
                  <c:v>Van Tuxwell</c:v>
                </c:pt>
                <c:pt idx="24">
                  <c:v>Wilone O'Kielt</c:v>
                </c:pt>
              </c:strCache>
            </c:strRef>
          </c:cat>
          <c:val>
            <c:numRef>
              <c:f>Pivot!$T$5:$T$29</c:f>
              <c:numCache>
                <c:formatCode>General</c:formatCode>
                <c:ptCount val="25"/>
                <c:pt idx="0">
                  <c:v>452</c:v>
                </c:pt>
                <c:pt idx="1">
                  <c:v>711</c:v>
                </c:pt>
                <c:pt idx="2">
                  <c:v>555</c:v>
                </c:pt>
                <c:pt idx="3">
                  <c:v>340</c:v>
                </c:pt>
                <c:pt idx="4">
                  <c:v>24</c:v>
                </c:pt>
                <c:pt idx="5">
                  <c:v>651</c:v>
                </c:pt>
                <c:pt idx="6">
                  <c:v>1253</c:v>
                </c:pt>
                <c:pt idx="7">
                  <c:v>566</c:v>
                </c:pt>
                <c:pt idx="8">
                  <c:v>439</c:v>
                </c:pt>
                <c:pt idx="9">
                  <c:v>278</c:v>
                </c:pt>
                <c:pt idx="10">
                  <c:v>129</c:v>
                </c:pt>
                <c:pt idx="11">
                  <c:v>711</c:v>
                </c:pt>
                <c:pt idx="12">
                  <c:v>291</c:v>
                </c:pt>
                <c:pt idx="13">
                  <c:v>330</c:v>
                </c:pt>
                <c:pt idx="14">
                  <c:v>86</c:v>
                </c:pt>
                <c:pt idx="15">
                  <c:v>423</c:v>
                </c:pt>
                <c:pt idx="16">
                  <c:v>388</c:v>
                </c:pt>
                <c:pt idx="17">
                  <c:v>1005</c:v>
                </c:pt>
                <c:pt idx="18">
                  <c:v>376</c:v>
                </c:pt>
                <c:pt idx="19">
                  <c:v>742</c:v>
                </c:pt>
                <c:pt idx="20">
                  <c:v>874</c:v>
                </c:pt>
                <c:pt idx="21">
                  <c:v>135</c:v>
                </c:pt>
                <c:pt idx="22">
                  <c:v>398</c:v>
                </c:pt>
                <c:pt idx="23">
                  <c:v>294</c:v>
                </c:pt>
                <c:pt idx="24">
                  <c:v>443</c:v>
                </c:pt>
              </c:numCache>
            </c:numRef>
          </c:val>
          <c:smooth val="0"/>
          <c:extLst>
            <c:ext xmlns:c16="http://schemas.microsoft.com/office/drawing/2014/chart" uri="{C3380CC4-5D6E-409C-BE32-E72D297353CC}">
              <c16:uniqueId val="{00000003-4BF7-4ADF-AAA4-ECCD70B2486E}"/>
            </c:ext>
          </c:extLst>
        </c:ser>
        <c:ser>
          <c:idx val="4"/>
          <c:order val="4"/>
          <c:tx>
            <c:strRef>
              <c:f>Pivot!$U$3:$U$4</c:f>
              <c:strCache>
                <c:ptCount val="1"/>
                <c:pt idx="0">
                  <c:v>UK</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Pivot!$P$5:$P$29</c:f>
              <c:strCache>
                <c:ptCount val="25"/>
                <c:pt idx="0">
                  <c:v>Andria Kimpton</c:v>
                </c:pt>
                <c:pt idx="1">
                  <c:v>Barr Faughny</c:v>
                </c:pt>
                <c:pt idx="2">
                  <c:v>Beverie Moffet</c:v>
                </c:pt>
                <c:pt idx="3">
                  <c:v>Brien Boise</c:v>
                </c:pt>
                <c:pt idx="4">
                  <c:v>Camilla Castle</c:v>
                </c:pt>
                <c:pt idx="5">
                  <c:v>Ches Bonnell</c:v>
                </c:pt>
                <c:pt idx="6">
                  <c:v>Curtice Advani</c:v>
                </c:pt>
                <c:pt idx="7">
                  <c:v>Dennison Crosswaite</c:v>
                </c:pt>
                <c:pt idx="8">
                  <c:v>Dotty Strutley</c:v>
                </c:pt>
                <c:pt idx="9">
                  <c:v>Gigi Bohling</c:v>
                </c:pt>
                <c:pt idx="10">
                  <c:v>Gunar Cockshoot</c:v>
                </c:pt>
                <c:pt idx="11">
                  <c:v>Husein Augar</c:v>
                </c:pt>
                <c:pt idx="12">
                  <c:v>Jan Morforth</c:v>
                </c:pt>
                <c:pt idx="13">
                  <c:v>Jehu Rudeforth</c:v>
                </c:pt>
                <c:pt idx="14">
                  <c:v>Kaine Padly</c:v>
                </c:pt>
                <c:pt idx="15">
                  <c:v>Karlen McCaffrey</c:v>
                </c:pt>
                <c:pt idx="16">
                  <c:v>Kelci Walkden</c:v>
                </c:pt>
                <c:pt idx="17">
                  <c:v>Madelene Upcott</c:v>
                </c:pt>
                <c:pt idx="18">
                  <c:v>Mallorie Waber</c:v>
                </c:pt>
                <c:pt idx="19">
                  <c:v>Marney O'Breen</c:v>
                </c:pt>
                <c:pt idx="20">
                  <c:v>Oby Sorrel</c:v>
                </c:pt>
                <c:pt idx="21">
                  <c:v>Rafaelita Blaksland</c:v>
                </c:pt>
                <c:pt idx="22">
                  <c:v>Roddy Speechley</c:v>
                </c:pt>
                <c:pt idx="23">
                  <c:v>Van Tuxwell</c:v>
                </c:pt>
                <c:pt idx="24">
                  <c:v>Wilone O'Kielt</c:v>
                </c:pt>
              </c:strCache>
            </c:strRef>
          </c:cat>
          <c:val>
            <c:numRef>
              <c:f>Pivot!$U$5:$U$29</c:f>
              <c:numCache>
                <c:formatCode>General</c:formatCode>
                <c:ptCount val="25"/>
                <c:pt idx="0">
                  <c:v>293</c:v>
                </c:pt>
                <c:pt idx="1">
                  <c:v>495</c:v>
                </c:pt>
                <c:pt idx="2">
                  <c:v>592</c:v>
                </c:pt>
                <c:pt idx="3">
                  <c:v>312</c:v>
                </c:pt>
                <c:pt idx="4">
                  <c:v>187</c:v>
                </c:pt>
                <c:pt idx="5">
                  <c:v>226</c:v>
                </c:pt>
                <c:pt idx="6">
                  <c:v>486</c:v>
                </c:pt>
                <c:pt idx="7">
                  <c:v>1110</c:v>
                </c:pt>
                <c:pt idx="8">
                  <c:v>282</c:v>
                </c:pt>
                <c:pt idx="9">
                  <c:v>184</c:v>
                </c:pt>
                <c:pt idx="10">
                  <c:v>553</c:v>
                </c:pt>
                <c:pt idx="11">
                  <c:v>301</c:v>
                </c:pt>
                <c:pt idx="12">
                  <c:v>544</c:v>
                </c:pt>
                <c:pt idx="13">
                  <c:v>802</c:v>
                </c:pt>
                <c:pt idx="14">
                  <c:v>763</c:v>
                </c:pt>
                <c:pt idx="15">
                  <c:v>585</c:v>
                </c:pt>
                <c:pt idx="16">
                  <c:v>232</c:v>
                </c:pt>
                <c:pt idx="17">
                  <c:v>557</c:v>
                </c:pt>
                <c:pt idx="18">
                  <c:v>383</c:v>
                </c:pt>
                <c:pt idx="19">
                  <c:v>222</c:v>
                </c:pt>
                <c:pt idx="20">
                  <c:v>398</c:v>
                </c:pt>
                <c:pt idx="21">
                  <c:v>130</c:v>
                </c:pt>
                <c:pt idx="22">
                  <c:v>478</c:v>
                </c:pt>
                <c:pt idx="23">
                  <c:v>236</c:v>
                </c:pt>
              </c:numCache>
            </c:numRef>
          </c:val>
          <c:smooth val="0"/>
          <c:extLst>
            <c:ext xmlns:c16="http://schemas.microsoft.com/office/drawing/2014/chart" uri="{C3380CC4-5D6E-409C-BE32-E72D297353CC}">
              <c16:uniqueId val="{00000004-4BF7-4ADF-AAA4-ECCD70B2486E}"/>
            </c:ext>
          </c:extLst>
        </c:ser>
        <c:ser>
          <c:idx val="5"/>
          <c:order val="5"/>
          <c:tx>
            <c:strRef>
              <c:f>Pivot!$V$3:$V$4</c:f>
              <c:strCache>
                <c:ptCount val="1"/>
                <c:pt idx="0">
                  <c:v>USA</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Pivot!$P$5:$P$29</c:f>
              <c:strCache>
                <c:ptCount val="25"/>
                <c:pt idx="0">
                  <c:v>Andria Kimpton</c:v>
                </c:pt>
                <c:pt idx="1">
                  <c:v>Barr Faughny</c:v>
                </c:pt>
                <c:pt idx="2">
                  <c:v>Beverie Moffet</c:v>
                </c:pt>
                <c:pt idx="3">
                  <c:v>Brien Boise</c:v>
                </c:pt>
                <c:pt idx="4">
                  <c:v>Camilla Castle</c:v>
                </c:pt>
                <c:pt idx="5">
                  <c:v>Ches Bonnell</c:v>
                </c:pt>
                <c:pt idx="6">
                  <c:v>Curtice Advani</c:v>
                </c:pt>
                <c:pt idx="7">
                  <c:v>Dennison Crosswaite</c:v>
                </c:pt>
                <c:pt idx="8">
                  <c:v>Dotty Strutley</c:v>
                </c:pt>
                <c:pt idx="9">
                  <c:v>Gigi Bohling</c:v>
                </c:pt>
                <c:pt idx="10">
                  <c:v>Gunar Cockshoot</c:v>
                </c:pt>
                <c:pt idx="11">
                  <c:v>Husein Augar</c:v>
                </c:pt>
                <c:pt idx="12">
                  <c:v>Jan Morforth</c:v>
                </c:pt>
                <c:pt idx="13">
                  <c:v>Jehu Rudeforth</c:v>
                </c:pt>
                <c:pt idx="14">
                  <c:v>Kaine Padly</c:v>
                </c:pt>
                <c:pt idx="15">
                  <c:v>Karlen McCaffrey</c:v>
                </c:pt>
                <c:pt idx="16">
                  <c:v>Kelci Walkden</c:v>
                </c:pt>
                <c:pt idx="17">
                  <c:v>Madelene Upcott</c:v>
                </c:pt>
                <c:pt idx="18">
                  <c:v>Mallorie Waber</c:v>
                </c:pt>
                <c:pt idx="19">
                  <c:v>Marney O'Breen</c:v>
                </c:pt>
                <c:pt idx="20">
                  <c:v>Oby Sorrel</c:v>
                </c:pt>
                <c:pt idx="21">
                  <c:v>Rafaelita Blaksland</c:v>
                </c:pt>
                <c:pt idx="22">
                  <c:v>Roddy Speechley</c:v>
                </c:pt>
                <c:pt idx="23">
                  <c:v>Van Tuxwell</c:v>
                </c:pt>
                <c:pt idx="24">
                  <c:v>Wilone O'Kielt</c:v>
                </c:pt>
              </c:strCache>
            </c:strRef>
          </c:cat>
          <c:val>
            <c:numRef>
              <c:f>Pivot!$V$5:$V$29</c:f>
              <c:numCache>
                <c:formatCode>General</c:formatCode>
                <c:ptCount val="25"/>
                <c:pt idx="1">
                  <c:v>434</c:v>
                </c:pt>
                <c:pt idx="2">
                  <c:v>486</c:v>
                </c:pt>
                <c:pt idx="3">
                  <c:v>341</c:v>
                </c:pt>
                <c:pt idx="4">
                  <c:v>423</c:v>
                </c:pt>
                <c:pt idx="5">
                  <c:v>433</c:v>
                </c:pt>
                <c:pt idx="6">
                  <c:v>281</c:v>
                </c:pt>
                <c:pt idx="7">
                  <c:v>334</c:v>
                </c:pt>
                <c:pt idx="8">
                  <c:v>401</c:v>
                </c:pt>
                <c:pt idx="9">
                  <c:v>580</c:v>
                </c:pt>
                <c:pt idx="10">
                  <c:v>250</c:v>
                </c:pt>
                <c:pt idx="11">
                  <c:v>167</c:v>
                </c:pt>
                <c:pt idx="13">
                  <c:v>352</c:v>
                </c:pt>
                <c:pt idx="14">
                  <c:v>210</c:v>
                </c:pt>
                <c:pt idx="15">
                  <c:v>127</c:v>
                </c:pt>
                <c:pt idx="16">
                  <c:v>848</c:v>
                </c:pt>
                <c:pt idx="17">
                  <c:v>630</c:v>
                </c:pt>
                <c:pt idx="18">
                  <c:v>419</c:v>
                </c:pt>
                <c:pt idx="19">
                  <c:v>653</c:v>
                </c:pt>
                <c:pt idx="20">
                  <c:v>619</c:v>
                </c:pt>
                <c:pt idx="21">
                  <c:v>65</c:v>
                </c:pt>
                <c:pt idx="22">
                  <c:v>608</c:v>
                </c:pt>
                <c:pt idx="23">
                  <c:v>181</c:v>
                </c:pt>
                <c:pt idx="24">
                  <c:v>124</c:v>
                </c:pt>
              </c:numCache>
            </c:numRef>
          </c:val>
          <c:smooth val="0"/>
          <c:extLst>
            <c:ext xmlns:c16="http://schemas.microsoft.com/office/drawing/2014/chart" uri="{C3380CC4-5D6E-409C-BE32-E72D297353CC}">
              <c16:uniqueId val="{00000005-4BF7-4ADF-AAA4-ECCD70B2486E}"/>
            </c:ext>
          </c:extLst>
        </c:ser>
        <c:dLbls>
          <c:showLegendKey val="0"/>
          <c:showVal val="0"/>
          <c:showCatName val="0"/>
          <c:showSerName val="0"/>
          <c:showPercent val="0"/>
          <c:showBubbleSize val="0"/>
        </c:dLbls>
        <c:marker val="1"/>
        <c:smooth val="0"/>
        <c:axId val="1712810912"/>
        <c:axId val="1888092688"/>
      </c:lineChart>
      <c:catAx>
        <c:axId val="171281091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8092688"/>
        <c:crosses val="autoZero"/>
        <c:auto val="1"/>
        <c:lblAlgn val="ctr"/>
        <c:lblOffset val="100"/>
        <c:noMultiLvlLbl val="0"/>
      </c:catAx>
      <c:valAx>
        <c:axId val="188809268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281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Boxes By Month</cx:v>
        </cx:txData>
      </cx:tx>
      <cx: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lin ang="2700000" scaled="1"/>
          <a:tileRect/>
        </a:gradFill>
        <a:effectLst>
          <a:glow rad="228600">
            <a:schemeClr val="accent2">
              <a:satMod val="175000"/>
              <a:alpha val="40000"/>
            </a:schemeClr>
          </a:glow>
          <a:outerShdw blurRad="50800" dist="38100" dir="16200000" rotWithShape="0">
            <a:prstClr val="black">
              <a:alpha val="40000"/>
            </a:prstClr>
          </a:outerShdw>
        </a:effectLst>
      </cx:spPr>
      <cx:txPr>
        <a:bodyPr spcFirstLastPara="1" vertOverflow="ellipsis" horzOverflow="overflow" wrap="square" lIns="0" tIns="0" rIns="0" bIns="0" anchor="ctr" anchorCtr="1"/>
        <a:lstStyle/>
        <a:p>
          <a:pPr algn="ctr" rtl="0">
            <a:defRPr>
              <a:solidFill>
                <a:schemeClr val="tx1"/>
              </a:solidFill>
            </a:defRPr>
          </a:pPr>
          <a:r>
            <a:rPr lang="en-US" sz="1400" b="0" i="0" u="none" strike="noStrike" baseline="0">
              <a:solidFill>
                <a:schemeClr val="tx1"/>
              </a:solidFill>
              <a:latin typeface="Calibri" panose="020F0502020204030204"/>
            </a:rPr>
            <a:t>Boxes By Month</a:t>
          </a:r>
        </a:p>
      </cx:txPr>
    </cx:title>
    <cx:plotArea>
      <cx:plotAreaRegion>
        <cx:series layoutId="treemap" uniqueId="{9FC99D4D-1BC0-4C14-B489-D85004566508}">
          <cx:dataLabels pos="inEnd">
            <cx:visibility seriesName="0" categoryName="1" value="0"/>
          </cx:dataLabels>
          <cx:dataId val="0"/>
          <cx:layoutPr>
            <cx:parentLabelLayout val="overlapping"/>
          </cx:layoutPr>
        </cx:series>
      </cx:plotAreaRegion>
    </cx:plotArea>
  </cx:chart>
  <cx:spPr>
    <a:solidFill>
      <a:schemeClr val="bg1">
        <a:lumMod val="75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158749</xdr:colOff>
      <xdr:row>0</xdr:row>
      <xdr:rowOff>38100</xdr:rowOff>
    </xdr:from>
    <xdr:to>
      <xdr:col>20</xdr:col>
      <xdr:colOff>306915</xdr:colOff>
      <xdr:row>3</xdr:row>
      <xdr:rowOff>171450</xdr:rowOff>
    </xdr:to>
    <xdr:sp macro="" textlink="">
      <xdr:nvSpPr>
        <xdr:cNvPr id="2" name="Rectangle: Rounded Corners 1">
          <a:extLst>
            <a:ext uri="{FF2B5EF4-FFF2-40B4-BE49-F238E27FC236}">
              <a16:creationId xmlns:a16="http://schemas.microsoft.com/office/drawing/2014/main" id="{A8306925-FA69-4EDD-B73F-2819107CC238}"/>
            </a:ext>
          </a:extLst>
        </xdr:cNvPr>
        <xdr:cNvSpPr/>
      </xdr:nvSpPr>
      <xdr:spPr>
        <a:xfrm>
          <a:off x="158749" y="38100"/>
          <a:ext cx="12424833" cy="704850"/>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276224</xdr:colOff>
      <xdr:row>0</xdr:row>
      <xdr:rowOff>38100</xdr:rowOff>
    </xdr:from>
    <xdr:to>
      <xdr:col>15</xdr:col>
      <xdr:colOff>228599</xdr:colOff>
      <xdr:row>3</xdr:row>
      <xdr:rowOff>161925</xdr:rowOff>
    </xdr:to>
    <xdr:sp macro="" textlink="">
      <xdr:nvSpPr>
        <xdr:cNvPr id="3" name="Rectangle: Rounded Corners 2">
          <a:extLst>
            <a:ext uri="{FF2B5EF4-FFF2-40B4-BE49-F238E27FC236}">
              <a16:creationId xmlns:a16="http://schemas.microsoft.com/office/drawing/2014/main" id="{A6F3DDDA-8FA1-4D36-BB2F-2E1CBB64DA6C}"/>
            </a:ext>
          </a:extLst>
        </xdr:cNvPr>
        <xdr:cNvSpPr/>
      </xdr:nvSpPr>
      <xdr:spPr>
        <a:xfrm>
          <a:off x="6981824" y="38100"/>
          <a:ext cx="2390775" cy="6953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361949</xdr:colOff>
      <xdr:row>0</xdr:row>
      <xdr:rowOff>47624</xdr:rowOff>
    </xdr:from>
    <xdr:to>
      <xdr:col>19</xdr:col>
      <xdr:colOff>314324</xdr:colOff>
      <xdr:row>3</xdr:row>
      <xdr:rowOff>171449</xdr:rowOff>
    </xdr:to>
    <xdr:sp macro="" textlink="">
      <xdr:nvSpPr>
        <xdr:cNvPr id="5" name="Rectangle: Rounded Corners 4">
          <a:extLst>
            <a:ext uri="{FF2B5EF4-FFF2-40B4-BE49-F238E27FC236}">
              <a16:creationId xmlns:a16="http://schemas.microsoft.com/office/drawing/2014/main" id="{4B2D5C87-0394-4175-B422-67DEF16BADB9}"/>
            </a:ext>
          </a:extLst>
        </xdr:cNvPr>
        <xdr:cNvSpPr/>
      </xdr:nvSpPr>
      <xdr:spPr>
        <a:xfrm>
          <a:off x="9505949" y="47624"/>
          <a:ext cx="2390775" cy="6953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264584</xdr:colOff>
      <xdr:row>0</xdr:row>
      <xdr:rowOff>46567</xdr:rowOff>
    </xdr:from>
    <xdr:ext cx="4924425" cy="647700"/>
    <xdr:sp macro="" textlink="">
      <xdr:nvSpPr>
        <xdr:cNvPr id="6" name="Rectangle 5">
          <a:extLst>
            <a:ext uri="{FF2B5EF4-FFF2-40B4-BE49-F238E27FC236}">
              <a16:creationId xmlns:a16="http://schemas.microsoft.com/office/drawing/2014/main" id="{82345BDA-0539-42EA-9A95-4314057033A4}"/>
            </a:ext>
          </a:extLst>
        </xdr:cNvPr>
        <xdr:cNvSpPr/>
      </xdr:nvSpPr>
      <xdr:spPr>
        <a:xfrm>
          <a:off x="878417" y="46567"/>
          <a:ext cx="4924425" cy="647700"/>
        </a:xfrm>
        <a:prstGeom prst="rect">
          <a:avLst/>
        </a:prstGeom>
        <a:noFill/>
      </xdr:spPr>
      <xdr:txBody>
        <a:bodyPr wrap="none" lIns="91440" tIns="45720" rIns="91440" bIns="45720">
          <a:noAutofit/>
        </a:bodyPr>
        <a:lstStyle/>
        <a:p>
          <a:pPr algn="ctr"/>
          <a:r>
            <a:rPr lang="en-US" sz="36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rPr>
            <a:t>CHOCOLATE SALES DASHBOARD</a:t>
          </a:r>
        </a:p>
      </xdr:txBody>
    </xdr:sp>
    <xdr:clientData/>
  </xdr:oneCellAnchor>
  <xdr:oneCellAnchor>
    <xdr:from>
      <xdr:col>13</xdr:col>
      <xdr:colOff>180975</xdr:colOff>
      <xdr:row>8</xdr:row>
      <xdr:rowOff>155074</xdr:rowOff>
    </xdr:from>
    <xdr:ext cx="1428750" cy="625976"/>
    <xdr:sp macro="" textlink="">
      <xdr:nvSpPr>
        <xdr:cNvPr id="7" name="Rectangle 6">
          <a:extLst>
            <a:ext uri="{FF2B5EF4-FFF2-40B4-BE49-F238E27FC236}">
              <a16:creationId xmlns:a16="http://schemas.microsoft.com/office/drawing/2014/main" id="{E1673238-39BC-464C-AA2F-6BEB9371A189}"/>
            </a:ext>
          </a:extLst>
        </xdr:cNvPr>
        <xdr:cNvSpPr/>
      </xdr:nvSpPr>
      <xdr:spPr>
        <a:xfrm>
          <a:off x="8105775" y="1679074"/>
          <a:ext cx="1428750" cy="625976"/>
        </a:xfrm>
        <a:prstGeom prst="rect">
          <a:avLst/>
        </a:prstGeom>
        <a:noFill/>
      </xdr:spPr>
      <xdr:txBody>
        <a:bodyPr wrap="square" lIns="91440" tIns="45720" rIns="91440" bIns="45720">
          <a:no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12</xdr:col>
      <xdr:colOff>37094</xdr:colOff>
      <xdr:row>0</xdr:row>
      <xdr:rowOff>0</xdr:rowOff>
    </xdr:from>
    <xdr:ext cx="1515481" cy="435477"/>
    <xdr:sp macro="" textlink="">
      <xdr:nvSpPr>
        <xdr:cNvPr id="8" name="Rectangle 7">
          <a:extLst>
            <a:ext uri="{FF2B5EF4-FFF2-40B4-BE49-F238E27FC236}">
              <a16:creationId xmlns:a16="http://schemas.microsoft.com/office/drawing/2014/main" id="{8506DFAA-1492-4444-B008-B244F04C985C}"/>
            </a:ext>
          </a:extLst>
        </xdr:cNvPr>
        <xdr:cNvSpPr/>
      </xdr:nvSpPr>
      <xdr:spPr>
        <a:xfrm>
          <a:off x="7352294" y="0"/>
          <a:ext cx="1515481" cy="435477"/>
        </a:xfrm>
        <a:prstGeom prst="rect">
          <a:avLst/>
        </a:prstGeom>
        <a:noFill/>
      </xdr:spPr>
      <xdr:txBody>
        <a:bodyPr wrap="non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TOTAL</a:t>
          </a:r>
          <a:r>
            <a:rPr lang="en-US" sz="2000" b="0" cap="none" spc="0" baseline="0">
              <a:ln w="0"/>
              <a:solidFill>
                <a:schemeClr val="tx1"/>
              </a:solidFill>
              <a:effectLst>
                <a:outerShdw blurRad="38100" dist="19050" dir="2700000" algn="tl" rotWithShape="0">
                  <a:schemeClr val="dk1">
                    <a:alpha val="40000"/>
                  </a:schemeClr>
                </a:outerShdw>
              </a:effectLst>
            </a:rPr>
            <a:t> SALES</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16</xdr:col>
      <xdr:colOff>218069</xdr:colOff>
      <xdr:row>0</xdr:row>
      <xdr:rowOff>0</xdr:rowOff>
    </xdr:from>
    <xdr:ext cx="1372605" cy="435477"/>
    <xdr:sp macro="" textlink="">
      <xdr:nvSpPr>
        <xdr:cNvPr id="9" name="Rectangle 8">
          <a:extLst>
            <a:ext uri="{FF2B5EF4-FFF2-40B4-BE49-F238E27FC236}">
              <a16:creationId xmlns:a16="http://schemas.microsoft.com/office/drawing/2014/main" id="{21175695-25D1-4D6D-BB95-916B68782B6C}"/>
            </a:ext>
          </a:extLst>
        </xdr:cNvPr>
        <xdr:cNvSpPr/>
      </xdr:nvSpPr>
      <xdr:spPr>
        <a:xfrm>
          <a:off x="9971669" y="0"/>
          <a:ext cx="1372605" cy="435477"/>
        </a:xfrm>
        <a:prstGeom prst="rect">
          <a:avLst/>
        </a:prstGeom>
        <a:noFill/>
      </xdr:spPr>
      <xdr:txBody>
        <a:bodyPr wrap="non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TOTAL</a:t>
          </a:r>
          <a:r>
            <a:rPr lang="en-US" sz="2000" b="0" cap="none" spc="0" baseline="0">
              <a:ln w="0"/>
              <a:solidFill>
                <a:schemeClr val="tx1"/>
              </a:solidFill>
              <a:effectLst>
                <a:outerShdw blurRad="38100" dist="19050" dir="2700000" algn="tl" rotWithShape="0">
                  <a:schemeClr val="dk1">
                    <a:alpha val="40000"/>
                  </a:schemeClr>
                </a:outerShdw>
              </a:effectLst>
            </a:rPr>
            <a:t> BOXES</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12</xdr:col>
      <xdr:colOff>247651</xdr:colOff>
      <xdr:row>1</xdr:row>
      <xdr:rowOff>161925</xdr:rowOff>
    </xdr:from>
    <xdr:to>
      <xdr:col>14</xdr:col>
      <xdr:colOff>180975</xdr:colOff>
      <xdr:row>3</xdr:row>
      <xdr:rowOff>142875</xdr:rowOff>
    </xdr:to>
    <xdr:sp macro="" textlink="Pivot!X6">
      <xdr:nvSpPr>
        <xdr:cNvPr id="12" name="Rectangle: Rounded Corners 11">
          <a:extLst>
            <a:ext uri="{FF2B5EF4-FFF2-40B4-BE49-F238E27FC236}">
              <a16:creationId xmlns:a16="http://schemas.microsoft.com/office/drawing/2014/main" id="{DD564CDB-431C-4739-8B42-F5C04D231728}"/>
            </a:ext>
          </a:extLst>
        </xdr:cNvPr>
        <xdr:cNvSpPr/>
      </xdr:nvSpPr>
      <xdr:spPr>
        <a:xfrm>
          <a:off x="7562851" y="352425"/>
          <a:ext cx="1152524" cy="3619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BC014AED-ADD7-444C-BF80-9561CEC72FC5}" type="TxLink">
            <a:rPr lang="en-US" sz="1800" b="1" i="0" u="none" strike="noStrike">
              <a:solidFill>
                <a:srgbClr val="000000"/>
              </a:solidFill>
              <a:latin typeface="Calibri"/>
              <a:cs typeface="Calibri"/>
            </a:rPr>
            <a:pPr algn="l"/>
            <a:t>65111</a:t>
          </a:fld>
          <a:endParaRPr lang="en-IN" sz="1800" b="1"/>
        </a:p>
      </xdr:txBody>
    </xdr:sp>
    <xdr:clientData/>
  </xdr:twoCellAnchor>
  <xdr:twoCellAnchor>
    <xdr:from>
      <xdr:col>16</xdr:col>
      <xdr:colOff>323851</xdr:colOff>
      <xdr:row>1</xdr:row>
      <xdr:rowOff>180975</xdr:rowOff>
    </xdr:from>
    <xdr:to>
      <xdr:col>17</xdr:col>
      <xdr:colOff>600075</xdr:colOff>
      <xdr:row>3</xdr:row>
      <xdr:rowOff>161925</xdr:rowOff>
    </xdr:to>
    <xdr:sp macro="" textlink="Pivot!X11">
      <xdr:nvSpPr>
        <xdr:cNvPr id="13" name="Rectangle: Rounded Corners 12">
          <a:extLst>
            <a:ext uri="{FF2B5EF4-FFF2-40B4-BE49-F238E27FC236}">
              <a16:creationId xmlns:a16="http://schemas.microsoft.com/office/drawing/2014/main" id="{17A0E0ED-23C3-4561-A61E-0642FE733B3D}"/>
            </a:ext>
          </a:extLst>
        </xdr:cNvPr>
        <xdr:cNvSpPr/>
      </xdr:nvSpPr>
      <xdr:spPr>
        <a:xfrm>
          <a:off x="10077451" y="371475"/>
          <a:ext cx="885824" cy="3619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A5CDB45D-2084-4532-8967-7A9C2618498E}" type="TxLink">
            <a:rPr lang="en-US" sz="1800" b="1" i="0" u="none" strike="noStrike">
              <a:solidFill>
                <a:srgbClr val="000000"/>
              </a:solidFill>
              <a:latin typeface="Calibri"/>
              <a:ea typeface="+mn-ea"/>
              <a:cs typeface="Calibri"/>
            </a:rPr>
            <a:pPr marL="0" indent="0" algn="l"/>
            <a:t>395</a:t>
          </a:fld>
          <a:endParaRPr lang="en-IN" sz="1800" b="1" i="0" u="none" strike="noStrike">
            <a:solidFill>
              <a:srgbClr val="000000"/>
            </a:solidFill>
            <a:latin typeface="Calibri"/>
            <a:ea typeface="+mn-ea"/>
            <a:cs typeface="Calibri"/>
          </a:endParaRPr>
        </a:p>
      </xdr:txBody>
    </xdr:sp>
    <xdr:clientData/>
  </xdr:twoCellAnchor>
  <xdr:twoCellAnchor editAs="oneCell">
    <xdr:from>
      <xdr:col>0</xdr:col>
      <xdr:colOff>161925</xdr:colOff>
      <xdr:row>4</xdr:row>
      <xdr:rowOff>9526</xdr:rowOff>
    </xdr:from>
    <xdr:to>
      <xdr:col>11</xdr:col>
      <xdr:colOff>314325</xdr:colOff>
      <xdr:row>9</xdr:row>
      <xdr:rowOff>95250</xdr:rowOff>
    </xdr:to>
    <mc:AlternateContent xmlns:mc="http://schemas.openxmlformats.org/markup-compatibility/2006" xmlns:a14="http://schemas.microsoft.com/office/drawing/2010/main">
      <mc:Choice Requires="a14">
        <xdr:graphicFrame macro="">
          <xdr:nvGraphicFramePr>
            <xdr:cNvPr id="14" name="Month">
              <a:extLst>
                <a:ext uri="{FF2B5EF4-FFF2-40B4-BE49-F238E27FC236}">
                  <a16:creationId xmlns:a16="http://schemas.microsoft.com/office/drawing/2014/main" id="{54C0B90C-D450-4D4A-B300-3EB94DE8F31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61925" y="771526"/>
              <a:ext cx="6887936" cy="9239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11</xdr:col>
      <xdr:colOff>323848</xdr:colOff>
      <xdr:row>3</xdr:row>
      <xdr:rowOff>180975</xdr:rowOff>
    </xdr:from>
    <xdr:to>
      <xdr:col>20</xdr:col>
      <xdr:colOff>338666</xdr:colOff>
      <xdr:row>9</xdr:row>
      <xdr:rowOff>84666</xdr:rowOff>
    </xdr:to>
    <mc:AlternateContent xmlns:mc="http://schemas.openxmlformats.org/markup-compatibility/2006" xmlns:a14="http://schemas.microsoft.com/office/drawing/2010/main">
      <mc:Choice Requires="a14">
        <xdr:graphicFrame macro="">
          <xdr:nvGraphicFramePr>
            <xdr:cNvPr id="16" name="Day">
              <a:extLst>
                <a:ext uri="{FF2B5EF4-FFF2-40B4-BE49-F238E27FC236}">
                  <a16:creationId xmlns:a16="http://schemas.microsoft.com/office/drawing/2014/main" id="{C030B489-6893-44C2-AB76-8D67FCFF5DC0}"/>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7059384" y="752476"/>
              <a:ext cx="5282294" cy="933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0</xdr:colOff>
      <xdr:row>35</xdr:row>
      <xdr:rowOff>171449</xdr:rowOff>
    </xdr:from>
    <xdr:to>
      <xdr:col>0</xdr:col>
      <xdr:colOff>0</xdr:colOff>
      <xdr:row>48</xdr:row>
      <xdr:rowOff>123824</xdr:rowOff>
    </xdr:to>
    <xdr:sp macro="" textlink="">
      <xdr:nvSpPr>
        <xdr:cNvPr id="21" name="Rectangle: Rounded Corners 20">
          <a:extLst>
            <a:ext uri="{FF2B5EF4-FFF2-40B4-BE49-F238E27FC236}">
              <a16:creationId xmlns:a16="http://schemas.microsoft.com/office/drawing/2014/main" id="{46FA6507-89B6-4F34-8A1F-5B1D8CED0ED9}"/>
            </a:ext>
          </a:extLst>
        </xdr:cNvPr>
        <xdr:cNvSpPr/>
      </xdr:nvSpPr>
      <xdr:spPr>
        <a:xfrm>
          <a:off x="0" y="6838949"/>
          <a:ext cx="0" cy="2428875"/>
        </a:xfrm>
        <a:prstGeom prst="roundRect">
          <a:avLst/>
        </a:prstGeom>
        <a:solidFill>
          <a:schemeClr val="bg1">
            <a:lumMod val="6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114300</xdr:colOff>
      <xdr:row>9</xdr:row>
      <xdr:rowOff>133349</xdr:rowOff>
    </xdr:from>
    <xdr:to>
      <xdr:col>6</xdr:col>
      <xdr:colOff>581025</xdr:colOff>
      <xdr:row>21</xdr:row>
      <xdr:rowOff>166687</xdr:rowOff>
    </xdr:to>
    <xdr:graphicFrame macro="">
      <xdr:nvGraphicFramePr>
        <xdr:cNvPr id="24" name="Chart 23">
          <a:extLst>
            <a:ext uri="{FF2B5EF4-FFF2-40B4-BE49-F238E27FC236}">
              <a16:creationId xmlns:a16="http://schemas.microsoft.com/office/drawing/2014/main" id="{5D15BDD5-EBAC-4C9D-8926-CBE16FCCC2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9</xdr:row>
      <xdr:rowOff>133349</xdr:rowOff>
    </xdr:from>
    <xdr:to>
      <xdr:col>13</xdr:col>
      <xdr:colOff>561975</xdr:colOff>
      <xdr:row>21</xdr:row>
      <xdr:rowOff>180974</xdr:rowOff>
    </xdr:to>
    <xdr:graphicFrame macro="">
      <xdr:nvGraphicFramePr>
        <xdr:cNvPr id="25" name="Chart 24">
          <a:extLst>
            <a:ext uri="{FF2B5EF4-FFF2-40B4-BE49-F238E27FC236}">
              <a16:creationId xmlns:a16="http://schemas.microsoft.com/office/drawing/2014/main" id="{9F1201E0-278B-4749-ADD9-C9036FB07B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590550</xdr:colOff>
      <xdr:row>9</xdr:row>
      <xdr:rowOff>133350</xdr:rowOff>
    </xdr:from>
    <xdr:to>
      <xdr:col>20</xdr:col>
      <xdr:colOff>352425</xdr:colOff>
      <xdr:row>21</xdr:row>
      <xdr:rowOff>180975</xdr:rowOff>
    </xdr:to>
    <xdr:graphicFrame macro="">
      <xdr:nvGraphicFramePr>
        <xdr:cNvPr id="26" name="Chart 25">
          <a:extLst>
            <a:ext uri="{FF2B5EF4-FFF2-40B4-BE49-F238E27FC236}">
              <a16:creationId xmlns:a16="http://schemas.microsoft.com/office/drawing/2014/main" id="{3D9EA9C0-DFEC-497C-A514-21CE4167B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22</xdr:row>
      <xdr:rowOff>0</xdr:rowOff>
    </xdr:from>
    <xdr:to>
      <xdr:col>6</xdr:col>
      <xdr:colOff>581025</xdr:colOff>
      <xdr:row>34</xdr:row>
      <xdr:rowOff>171450</xdr:rowOff>
    </xdr:to>
    <mc:AlternateContent xmlns:mc="http://schemas.openxmlformats.org/markup-compatibility/2006">
      <mc:Choice xmlns:cx1="http://schemas.microsoft.com/office/drawing/2015/9/8/chartex" Requires="cx1">
        <xdr:graphicFrame macro="">
          <xdr:nvGraphicFramePr>
            <xdr:cNvPr id="27" name="Chart 26">
              <a:extLst>
                <a:ext uri="{FF2B5EF4-FFF2-40B4-BE49-F238E27FC236}">
                  <a16:creationId xmlns:a16="http://schemas.microsoft.com/office/drawing/2014/main" id="{CC1B51BB-345F-41A6-98A1-458499EE08F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61925" y="4191000"/>
              <a:ext cx="4076700" cy="24574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581025</xdr:colOff>
      <xdr:row>22</xdr:row>
      <xdr:rowOff>28575</xdr:rowOff>
    </xdr:from>
    <xdr:to>
      <xdr:col>13</xdr:col>
      <xdr:colOff>561975</xdr:colOff>
      <xdr:row>34</xdr:row>
      <xdr:rowOff>180975</xdr:rowOff>
    </xdr:to>
    <xdr:graphicFrame macro="">
      <xdr:nvGraphicFramePr>
        <xdr:cNvPr id="28" name="Chart 27">
          <a:extLst>
            <a:ext uri="{FF2B5EF4-FFF2-40B4-BE49-F238E27FC236}">
              <a16:creationId xmlns:a16="http://schemas.microsoft.com/office/drawing/2014/main" id="{2D05BE4A-EE00-4F13-B392-2596B86411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581025</xdr:colOff>
      <xdr:row>22</xdr:row>
      <xdr:rowOff>19050</xdr:rowOff>
    </xdr:from>
    <xdr:to>
      <xdr:col>20</xdr:col>
      <xdr:colOff>409575</xdr:colOff>
      <xdr:row>35</xdr:row>
      <xdr:rowOff>33337</xdr:rowOff>
    </xdr:to>
    <xdr:graphicFrame macro="">
      <xdr:nvGraphicFramePr>
        <xdr:cNvPr id="29" name="Chart 28">
          <a:extLst>
            <a:ext uri="{FF2B5EF4-FFF2-40B4-BE49-F238E27FC236}">
              <a16:creationId xmlns:a16="http://schemas.microsoft.com/office/drawing/2014/main" id="{C714621D-37C8-4185-8F35-AD9299C66D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C" refreshedDate="46037.578752199071" createdVersion="7" refreshedVersion="7" minRefreshableVersion="3" recordCount="1094" xr:uid="{00000000-000A-0000-FFFF-FFFF13000000}">
  <cacheSource type="worksheet">
    <worksheetSource name="Sales"/>
  </cacheSource>
  <cacheFields count="9">
    <cacheField name="Sales Person" numFmtId="0">
      <sharedItems count="25">
        <s v="Jehu Rudeforth"/>
        <s v="Van Tuxwell"/>
        <s v="Gigi Bohling"/>
        <s v="Jan Morforth"/>
        <s v="Oby Sorrel"/>
        <s v="Gunar Cockshoot"/>
        <s v="Brien Boise"/>
        <s v="Rafaelita Blaksland"/>
        <s v="Barr Faughny"/>
        <s v="Mallorie Waber"/>
        <s v="Karlen McCaffrey"/>
        <s v="Marney O'Breen"/>
        <s v="Beverie Moffet"/>
        <s v="Roddy Speechley"/>
        <s v="Curtice Advani"/>
        <s v="Husein Augar"/>
        <s v="Kaine Padly"/>
        <s v="Dennison Crosswaite"/>
        <s v="Wilone O'Kielt"/>
        <s v="Andria Kimpton"/>
        <s v="Kelci Walkden"/>
        <s v="Camilla Castle"/>
        <s v="Madelene Upcott"/>
        <s v="Dotty Strutley"/>
        <s v="Ches Bonnell"/>
      </sharedItems>
    </cacheField>
    <cacheField name="Country" numFmtId="0">
      <sharedItems count="6">
        <s v="UK"/>
        <s v="India"/>
        <s v="Australia"/>
        <s v="New Zealand"/>
        <s v="USA"/>
        <s v="Canada"/>
      </sharedItems>
    </cacheField>
    <cacheField name="Product" numFmtId="0">
      <sharedItems count="22">
        <s v="Mint Chip Choco"/>
        <s v="85% Dark Bars"/>
        <s v="Peanut Butter Cubes"/>
        <s v="Smooth Sliky Salty"/>
        <s v="99% Dark &amp; Pure"/>
        <s v="After Nines"/>
        <s v="50% Dark Bites"/>
        <s v="Orange Choco"/>
        <s v="Eclairs"/>
        <s v="Drinking Coco"/>
        <s v="Organic Choco Syrup"/>
        <s v="Milk Bars"/>
        <s v="Spicy Special Slims"/>
        <s v="Fruit &amp; Nut Bars"/>
        <s v="White Choc"/>
        <s v="Manuka Honey Choco"/>
        <s v="Almond Choco"/>
        <s v="Raspberry Choco"/>
        <s v="Choco Coated Almonds"/>
        <s v="Baker's Choco Chips"/>
        <s v="Caramel Stuffed Bars"/>
        <s v="70% Dark Bites"/>
      </sharedItems>
    </cacheField>
    <cacheField name="Date" numFmtId="15">
      <sharedItems containsSemiMixedTypes="0" containsNonDate="0" containsDate="1" containsString="0" minDate="2022-01-03T00:00:00" maxDate="2022-09-01T00:00:00"/>
    </cacheField>
    <cacheField name="Month" numFmtId="15">
      <sharedItems count="8">
        <s v="Jan"/>
        <s v="Aug"/>
        <s v="Jul"/>
        <s v="Apr"/>
        <s v="Feb"/>
        <s v="Jun"/>
        <s v="Mar"/>
        <s v="May"/>
      </sharedItems>
    </cacheField>
    <cacheField name="Year" numFmtId="15">
      <sharedItems/>
    </cacheField>
    <cacheField name="Day" numFmtId="15">
      <sharedItems count="5">
        <s v="Tue"/>
        <s v="Mon"/>
        <s v="Thu"/>
        <s v="Wed"/>
        <s v="Fri"/>
      </sharedItems>
    </cacheField>
    <cacheField name="Amount" numFmtId="164">
      <sharedItems/>
    </cacheField>
    <cacheField name="Boxes Shipped" numFmtId="0">
      <sharedItems containsSemiMixedTypes="0" containsString="0" containsNumber="1" containsInteger="1" minValue="1" maxValue="709"/>
    </cacheField>
  </cacheFields>
  <extLst>
    <ext xmlns:x14="http://schemas.microsoft.com/office/spreadsheetml/2009/9/main" uri="{725AE2AE-9491-48be-B2B4-4EB974FC3084}">
      <x14:pivotCacheDefinition pivotCacheId="1073806265"/>
    </ext>
  </extLst>
</pivotCacheDefinition>
</file>

<file path=xl/pivotCache/pivotCacheRecords1.xml><?xml version="1.0" encoding="utf-8"?>
<pivotCacheRecords xmlns="http://schemas.openxmlformats.org/spreadsheetml/2006/main" xmlns:r="http://schemas.openxmlformats.org/officeDocument/2006/relationships" count="1094">
  <r>
    <x v="0"/>
    <x v="0"/>
    <x v="0"/>
    <d v="2022-01-04T00:00:00"/>
    <x v="0"/>
    <s v="2022"/>
    <x v="0"/>
    <s v="$5,320 "/>
    <n v="180"/>
  </r>
  <r>
    <x v="1"/>
    <x v="1"/>
    <x v="1"/>
    <d v="2022-08-01T00:00:00"/>
    <x v="1"/>
    <s v="2022"/>
    <x v="1"/>
    <s v="$7,896 "/>
    <n v="94"/>
  </r>
  <r>
    <x v="2"/>
    <x v="1"/>
    <x v="2"/>
    <d v="2022-07-07T00:00:00"/>
    <x v="2"/>
    <s v="2022"/>
    <x v="2"/>
    <s v="$4,501 "/>
    <n v="91"/>
  </r>
  <r>
    <x v="3"/>
    <x v="2"/>
    <x v="2"/>
    <d v="2022-04-27T00:00:00"/>
    <x v="3"/>
    <s v="2022"/>
    <x v="3"/>
    <s v="$12,726 "/>
    <n v="342"/>
  </r>
  <r>
    <x v="0"/>
    <x v="0"/>
    <x v="2"/>
    <d v="2022-02-24T00:00:00"/>
    <x v="4"/>
    <s v="2022"/>
    <x v="2"/>
    <s v="$13,685 "/>
    <n v="184"/>
  </r>
  <r>
    <x v="1"/>
    <x v="1"/>
    <x v="3"/>
    <d v="2022-06-06T00:00:00"/>
    <x v="5"/>
    <s v="2022"/>
    <x v="1"/>
    <s v="$5,376 "/>
    <n v="38"/>
  </r>
  <r>
    <x v="4"/>
    <x v="0"/>
    <x v="4"/>
    <d v="2022-01-25T00:00:00"/>
    <x v="0"/>
    <s v="2022"/>
    <x v="0"/>
    <s v="$13,685 "/>
    <n v="176"/>
  </r>
  <r>
    <x v="5"/>
    <x v="2"/>
    <x v="5"/>
    <d v="2022-03-24T00:00:00"/>
    <x v="6"/>
    <s v="2022"/>
    <x v="2"/>
    <s v="$3,080 "/>
    <n v="73"/>
  </r>
  <r>
    <x v="0"/>
    <x v="3"/>
    <x v="6"/>
    <d v="2022-04-20T00:00:00"/>
    <x v="3"/>
    <s v="2022"/>
    <x v="3"/>
    <s v="$3,990 "/>
    <n v="59"/>
  </r>
  <r>
    <x v="6"/>
    <x v="2"/>
    <x v="4"/>
    <d v="2022-07-04T00:00:00"/>
    <x v="2"/>
    <s v="2022"/>
    <x v="1"/>
    <s v="$2,835 "/>
    <n v="102"/>
  </r>
  <r>
    <x v="7"/>
    <x v="0"/>
    <x v="3"/>
    <d v="2022-01-13T00:00:00"/>
    <x v="0"/>
    <s v="2022"/>
    <x v="2"/>
    <s v="$4,704 "/>
    <n v="62"/>
  </r>
  <r>
    <x v="8"/>
    <x v="4"/>
    <x v="7"/>
    <d v="2022-03-10T00:00:00"/>
    <x v="6"/>
    <s v="2022"/>
    <x v="2"/>
    <s v="$3,703 "/>
    <n v="11"/>
  </r>
  <r>
    <x v="9"/>
    <x v="5"/>
    <x v="8"/>
    <d v="2022-01-13T00:00:00"/>
    <x v="0"/>
    <s v="2022"/>
    <x v="2"/>
    <s v="$1,442 "/>
    <n v="286"/>
  </r>
  <r>
    <x v="10"/>
    <x v="3"/>
    <x v="9"/>
    <d v="2022-07-28T00:00:00"/>
    <x v="2"/>
    <s v="2022"/>
    <x v="2"/>
    <s v="$168 "/>
    <n v="156"/>
  </r>
  <r>
    <x v="11"/>
    <x v="3"/>
    <x v="2"/>
    <d v="2022-08-03T00:00:00"/>
    <x v="1"/>
    <s v="2022"/>
    <x v="3"/>
    <s v="$8,379 "/>
    <n v="173"/>
  </r>
  <r>
    <x v="12"/>
    <x v="2"/>
    <x v="10"/>
    <d v="2022-01-26T00:00:00"/>
    <x v="0"/>
    <s v="2022"/>
    <x v="3"/>
    <s v="$6,790 "/>
    <n v="356"/>
  </r>
  <r>
    <x v="1"/>
    <x v="5"/>
    <x v="10"/>
    <d v="2022-02-14T00:00:00"/>
    <x v="4"/>
    <s v="2022"/>
    <x v="1"/>
    <s v="$4,067 "/>
    <n v="42"/>
  </r>
  <r>
    <x v="13"/>
    <x v="4"/>
    <x v="3"/>
    <d v="2022-04-05T00:00:00"/>
    <x v="3"/>
    <s v="2022"/>
    <x v="0"/>
    <s v="$3,017 "/>
    <n v="140"/>
  </r>
  <r>
    <x v="12"/>
    <x v="5"/>
    <x v="11"/>
    <d v="2022-02-16T00:00:00"/>
    <x v="4"/>
    <s v="2022"/>
    <x v="3"/>
    <s v="$8,799 "/>
    <n v="250"/>
  </r>
  <r>
    <x v="14"/>
    <x v="0"/>
    <x v="1"/>
    <d v="2022-06-08T00:00:00"/>
    <x v="5"/>
    <s v="2022"/>
    <x v="3"/>
    <s v="$1,085 "/>
    <n v="172"/>
  </r>
  <r>
    <x v="6"/>
    <x v="2"/>
    <x v="8"/>
    <d v="2022-06-27T00:00:00"/>
    <x v="5"/>
    <s v="2022"/>
    <x v="1"/>
    <s v="$6,888 "/>
    <n v="88"/>
  </r>
  <r>
    <x v="5"/>
    <x v="4"/>
    <x v="12"/>
    <d v="2022-02-17T00:00:00"/>
    <x v="4"/>
    <s v="2022"/>
    <x v="2"/>
    <s v="$1,267 "/>
    <n v="157"/>
  </r>
  <r>
    <x v="11"/>
    <x v="4"/>
    <x v="5"/>
    <d v="2022-05-30T00:00:00"/>
    <x v="7"/>
    <s v="2022"/>
    <x v="1"/>
    <s v="$4,753 "/>
    <n v="163"/>
  </r>
  <r>
    <x v="15"/>
    <x v="0"/>
    <x v="9"/>
    <d v="2022-03-14T00:00:00"/>
    <x v="6"/>
    <s v="2022"/>
    <x v="1"/>
    <s v="$3,003 "/>
    <n v="113"/>
  </r>
  <r>
    <x v="16"/>
    <x v="2"/>
    <x v="8"/>
    <d v="2022-02-28T00:00:00"/>
    <x v="4"/>
    <s v="2022"/>
    <x v="1"/>
    <s v="$7,672 "/>
    <n v="115"/>
  </r>
  <r>
    <x v="10"/>
    <x v="1"/>
    <x v="13"/>
    <d v="2022-01-26T00:00:00"/>
    <x v="0"/>
    <s v="2022"/>
    <x v="3"/>
    <s v="$168 "/>
    <n v="321"/>
  </r>
  <r>
    <x v="13"/>
    <x v="5"/>
    <x v="12"/>
    <d v="2022-02-09T00:00:00"/>
    <x v="4"/>
    <s v="2022"/>
    <x v="3"/>
    <s v="$1,652 "/>
    <n v="186"/>
  </r>
  <r>
    <x v="15"/>
    <x v="4"/>
    <x v="8"/>
    <d v="2022-07-07T00:00:00"/>
    <x v="2"/>
    <s v="2022"/>
    <x v="2"/>
    <s v="$4,025 "/>
    <n v="112"/>
  </r>
  <r>
    <x v="17"/>
    <x v="3"/>
    <x v="14"/>
    <d v="2022-07-05T00:00:00"/>
    <x v="2"/>
    <s v="2022"/>
    <x v="0"/>
    <s v="$9,492 "/>
    <n v="151"/>
  </r>
  <r>
    <x v="17"/>
    <x v="3"/>
    <x v="15"/>
    <d v="2022-06-15T00:00:00"/>
    <x v="5"/>
    <s v="2022"/>
    <x v="3"/>
    <s v="$5,061 "/>
    <n v="301"/>
  </r>
  <r>
    <x v="1"/>
    <x v="3"/>
    <x v="1"/>
    <d v="2022-05-24T00:00:00"/>
    <x v="7"/>
    <s v="2022"/>
    <x v="0"/>
    <s v="$1,722 "/>
    <n v="121"/>
  </r>
  <r>
    <x v="7"/>
    <x v="0"/>
    <x v="4"/>
    <d v="2022-06-29T00:00:00"/>
    <x v="5"/>
    <s v="2022"/>
    <x v="3"/>
    <s v="$12,446 "/>
    <n v="150"/>
  </r>
  <r>
    <x v="18"/>
    <x v="2"/>
    <x v="15"/>
    <d v="2022-05-11T00:00:00"/>
    <x v="7"/>
    <s v="2022"/>
    <x v="3"/>
    <s v="$4,284 "/>
    <n v="94"/>
  </r>
  <r>
    <x v="10"/>
    <x v="0"/>
    <x v="16"/>
    <d v="2022-06-30T00:00:00"/>
    <x v="5"/>
    <s v="2022"/>
    <x v="2"/>
    <s v="$6,839 "/>
    <n v="133"/>
  </r>
  <r>
    <x v="19"/>
    <x v="5"/>
    <x v="5"/>
    <d v="2022-05-11T00:00:00"/>
    <x v="7"/>
    <s v="2022"/>
    <x v="3"/>
    <s v="$2,163 "/>
    <n v="70"/>
  </r>
  <r>
    <x v="13"/>
    <x v="4"/>
    <x v="15"/>
    <d v="2022-07-22T00:00:00"/>
    <x v="2"/>
    <s v="2022"/>
    <x v="4"/>
    <s v="$9,583 "/>
    <n v="315"/>
  </r>
  <r>
    <x v="19"/>
    <x v="0"/>
    <x v="6"/>
    <d v="2022-08-24T00:00:00"/>
    <x v="1"/>
    <s v="2022"/>
    <x v="3"/>
    <s v="$2,653 "/>
    <n v="314"/>
  </r>
  <r>
    <x v="20"/>
    <x v="3"/>
    <x v="5"/>
    <d v="2022-07-07T00:00:00"/>
    <x v="2"/>
    <s v="2022"/>
    <x v="2"/>
    <s v="$147 "/>
    <n v="72"/>
  </r>
  <r>
    <x v="21"/>
    <x v="2"/>
    <x v="1"/>
    <d v="2022-05-19T00:00:00"/>
    <x v="7"/>
    <s v="2022"/>
    <x v="2"/>
    <s v="$3,654 "/>
    <n v="14"/>
  </r>
  <r>
    <x v="10"/>
    <x v="1"/>
    <x v="15"/>
    <d v="2022-07-04T00:00:00"/>
    <x v="2"/>
    <s v="2022"/>
    <x v="1"/>
    <s v="$2,443 "/>
    <n v="581"/>
  </r>
  <r>
    <x v="20"/>
    <x v="4"/>
    <x v="5"/>
    <d v="2022-06-02T00:00:00"/>
    <x v="5"/>
    <s v="2022"/>
    <x v="2"/>
    <s v="$938 "/>
    <n v="16"/>
  </r>
  <r>
    <x v="10"/>
    <x v="4"/>
    <x v="17"/>
    <d v="2022-04-15T00:00:00"/>
    <x v="3"/>
    <s v="2022"/>
    <x v="4"/>
    <s v="$14,749 "/>
    <n v="354"/>
  </r>
  <r>
    <x v="9"/>
    <x v="5"/>
    <x v="18"/>
    <d v="2022-07-11T00:00:00"/>
    <x v="2"/>
    <s v="2022"/>
    <x v="1"/>
    <s v="$4,781 "/>
    <n v="241"/>
  </r>
  <r>
    <x v="19"/>
    <x v="1"/>
    <x v="12"/>
    <d v="2022-02-23T00:00:00"/>
    <x v="4"/>
    <s v="2022"/>
    <x v="3"/>
    <s v="$6,307 "/>
    <n v="142"/>
  </r>
  <r>
    <x v="22"/>
    <x v="5"/>
    <x v="16"/>
    <d v="2022-08-22T00:00:00"/>
    <x v="1"/>
    <s v="2022"/>
    <x v="1"/>
    <s v="$7,602 "/>
    <n v="102"/>
  </r>
  <r>
    <x v="16"/>
    <x v="4"/>
    <x v="2"/>
    <d v="2022-02-16T00:00:00"/>
    <x v="4"/>
    <s v="2022"/>
    <x v="3"/>
    <s v="$6,790 "/>
    <n v="188"/>
  </r>
  <r>
    <x v="1"/>
    <x v="4"/>
    <x v="6"/>
    <d v="2022-01-13T00:00:00"/>
    <x v="0"/>
    <s v="2022"/>
    <x v="2"/>
    <s v="$9,737 "/>
    <n v="160"/>
  </r>
  <r>
    <x v="14"/>
    <x v="2"/>
    <x v="11"/>
    <d v="2022-02-14T00:00:00"/>
    <x v="4"/>
    <s v="2022"/>
    <x v="1"/>
    <s v="$6,979 "/>
    <n v="18"/>
  </r>
  <r>
    <x v="13"/>
    <x v="1"/>
    <x v="8"/>
    <d v="2022-06-10T00:00:00"/>
    <x v="5"/>
    <s v="2022"/>
    <x v="4"/>
    <s v="$4,382 "/>
    <n v="303"/>
  </r>
  <r>
    <x v="14"/>
    <x v="1"/>
    <x v="13"/>
    <d v="2022-07-07T00:00:00"/>
    <x v="2"/>
    <s v="2022"/>
    <x v="2"/>
    <s v="$5,243 "/>
    <n v="176"/>
  </r>
  <r>
    <x v="14"/>
    <x v="5"/>
    <x v="16"/>
    <d v="2022-03-24T00:00:00"/>
    <x v="6"/>
    <s v="2022"/>
    <x v="2"/>
    <s v="$4,865 "/>
    <n v="70"/>
  </r>
  <r>
    <x v="6"/>
    <x v="2"/>
    <x v="13"/>
    <d v="2022-06-06T00:00:00"/>
    <x v="5"/>
    <s v="2022"/>
    <x v="1"/>
    <s v="$8,575 "/>
    <n v="23"/>
  </r>
  <r>
    <x v="23"/>
    <x v="2"/>
    <x v="9"/>
    <d v="2022-07-19T00:00:00"/>
    <x v="2"/>
    <s v="2022"/>
    <x v="0"/>
    <s v="$91 "/>
    <n v="135"/>
  </r>
  <r>
    <x v="12"/>
    <x v="4"/>
    <x v="17"/>
    <d v="2022-04-19T00:00:00"/>
    <x v="3"/>
    <s v="2022"/>
    <x v="0"/>
    <s v="$14,798 "/>
    <n v="83"/>
  </r>
  <r>
    <x v="11"/>
    <x v="1"/>
    <x v="1"/>
    <d v="2022-07-19T00:00:00"/>
    <x v="2"/>
    <s v="2022"/>
    <x v="0"/>
    <s v="$2,205 "/>
    <n v="179"/>
  </r>
  <r>
    <x v="0"/>
    <x v="5"/>
    <x v="9"/>
    <d v="2022-07-15T00:00:00"/>
    <x v="2"/>
    <s v="2022"/>
    <x v="4"/>
    <s v="$441 "/>
    <n v="24"/>
  </r>
  <r>
    <x v="24"/>
    <x v="3"/>
    <x v="12"/>
    <d v="2022-02-14T00:00:00"/>
    <x v="4"/>
    <s v="2022"/>
    <x v="1"/>
    <s v="$3,556 "/>
    <n v="18"/>
  </r>
  <r>
    <x v="6"/>
    <x v="5"/>
    <x v="4"/>
    <d v="2022-05-18T00:00:00"/>
    <x v="7"/>
    <s v="2022"/>
    <x v="3"/>
    <s v="$16,793 "/>
    <n v="416"/>
  </r>
  <r>
    <x v="8"/>
    <x v="2"/>
    <x v="13"/>
    <d v="2022-06-30T00:00:00"/>
    <x v="5"/>
    <s v="2022"/>
    <x v="2"/>
    <s v="$15,421 "/>
    <n v="55"/>
  </r>
  <r>
    <x v="19"/>
    <x v="2"/>
    <x v="6"/>
    <d v="2022-06-02T00:00:00"/>
    <x v="5"/>
    <s v="2022"/>
    <x v="2"/>
    <s v="$4,438 "/>
    <n v="227"/>
  </r>
  <r>
    <x v="19"/>
    <x v="2"/>
    <x v="9"/>
    <d v="2022-06-28T00:00:00"/>
    <x v="5"/>
    <s v="2022"/>
    <x v="0"/>
    <s v="$1,603 "/>
    <n v="48"/>
  </r>
  <r>
    <x v="11"/>
    <x v="2"/>
    <x v="10"/>
    <d v="2022-05-16T00:00:00"/>
    <x v="7"/>
    <s v="2022"/>
    <x v="1"/>
    <s v="$273 "/>
    <n v="174"/>
  </r>
  <r>
    <x v="20"/>
    <x v="5"/>
    <x v="19"/>
    <d v="2022-05-26T00:00:00"/>
    <x v="7"/>
    <s v="2022"/>
    <x v="2"/>
    <s v="$3,073 "/>
    <n v="302"/>
  </r>
  <r>
    <x v="10"/>
    <x v="1"/>
    <x v="16"/>
    <d v="2022-07-06T00:00:00"/>
    <x v="2"/>
    <s v="2022"/>
    <x v="3"/>
    <s v="$6,090 "/>
    <n v="149"/>
  </r>
  <r>
    <x v="4"/>
    <x v="1"/>
    <x v="4"/>
    <d v="2022-05-27T00:00:00"/>
    <x v="7"/>
    <s v="2022"/>
    <x v="4"/>
    <s v="$10,255 "/>
    <n v="11"/>
  </r>
  <r>
    <x v="18"/>
    <x v="2"/>
    <x v="20"/>
    <d v="2022-04-14T00:00:00"/>
    <x v="3"/>
    <s v="2022"/>
    <x v="2"/>
    <s v="$2,030 "/>
    <n v="11"/>
  </r>
  <r>
    <x v="1"/>
    <x v="2"/>
    <x v="10"/>
    <d v="2022-08-10T00:00:00"/>
    <x v="1"/>
    <s v="2022"/>
    <x v="3"/>
    <s v="$19,453 "/>
    <n v="14"/>
  </r>
  <r>
    <x v="21"/>
    <x v="1"/>
    <x v="6"/>
    <d v="2022-07-04T00:00:00"/>
    <x v="2"/>
    <s v="2022"/>
    <x v="1"/>
    <s v="$9,275 "/>
    <n v="411"/>
  </r>
  <r>
    <x v="4"/>
    <x v="1"/>
    <x v="10"/>
    <d v="2022-07-08T00:00:00"/>
    <x v="2"/>
    <s v="2022"/>
    <x v="4"/>
    <s v="$6,181 "/>
    <n v="56"/>
  </r>
  <r>
    <x v="3"/>
    <x v="4"/>
    <x v="2"/>
    <d v="2022-07-22T00:00:00"/>
    <x v="2"/>
    <s v="2022"/>
    <x v="4"/>
    <s v="$9,037 "/>
    <n v="102"/>
  </r>
  <r>
    <x v="2"/>
    <x v="4"/>
    <x v="18"/>
    <d v="2022-03-02T00:00:00"/>
    <x v="6"/>
    <s v="2022"/>
    <x v="3"/>
    <s v="$12,313 "/>
    <n v="103"/>
  </r>
  <r>
    <x v="2"/>
    <x v="0"/>
    <x v="16"/>
    <d v="2022-01-10T00:00:00"/>
    <x v="0"/>
    <s v="2022"/>
    <x v="1"/>
    <s v="$5,642 "/>
    <n v="9"/>
  </r>
  <r>
    <x v="0"/>
    <x v="3"/>
    <x v="14"/>
    <d v="2022-03-11T00:00:00"/>
    <x v="6"/>
    <s v="2022"/>
    <x v="4"/>
    <s v="$2,800 "/>
    <n v="241"/>
  </r>
  <r>
    <x v="19"/>
    <x v="3"/>
    <x v="2"/>
    <d v="2022-06-20T00:00:00"/>
    <x v="5"/>
    <s v="2022"/>
    <x v="1"/>
    <s v="$959 "/>
    <n v="265"/>
  </r>
  <r>
    <x v="1"/>
    <x v="0"/>
    <x v="10"/>
    <d v="2022-08-26T00:00:00"/>
    <x v="1"/>
    <s v="2022"/>
    <x v="4"/>
    <s v="$2,002 "/>
    <n v="214"/>
  </r>
  <r>
    <x v="13"/>
    <x v="5"/>
    <x v="11"/>
    <d v="2022-07-13T00:00:00"/>
    <x v="2"/>
    <s v="2022"/>
    <x v="3"/>
    <s v="$609 "/>
    <n v="32"/>
  </r>
  <r>
    <x v="21"/>
    <x v="4"/>
    <x v="12"/>
    <d v="2022-02-11T00:00:00"/>
    <x v="4"/>
    <s v="2022"/>
    <x v="4"/>
    <s v="$1,274 "/>
    <n v="244"/>
  </r>
  <r>
    <x v="11"/>
    <x v="4"/>
    <x v="7"/>
    <d v="2022-01-27T00:00:00"/>
    <x v="0"/>
    <s v="2022"/>
    <x v="2"/>
    <s v="$7,595 "/>
    <n v="181"/>
  </r>
  <r>
    <x v="1"/>
    <x v="0"/>
    <x v="4"/>
    <d v="2022-01-31T00:00:00"/>
    <x v="0"/>
    <s v="2022"/>
    <x v="1"/>
    <s v="$4,725 "/>
    <n v="137"/>
  </r>
  <r>
    <x v="21"/>
    <x v="4"/>
    <x v="14"/>
    <d v="2022-08-18T00:00:00"/>
    <x v="1"/>
    <s v="2022"/>
    <x v="2"/>
    <s v="$9,681 "/>
    <n v="24"/>
  </r>
  <r>
    <x v="19"/>
    <x v="4"/>
    <x v="17"/>
    <d v="2022-06-30T00:00:00"/>
    <x v="5"/>
    <s v="2022"/>
    <x v="2"/>
    <s v="$14,504 "/>
    <n v="21"/>
  </r>
  <r>
    <x v="23"/>
    <x v="2"/>
    <x v="13"/>
    <d v="2022-08-23T00:00:00"/>
    <x v="1"/>
    <s v="2022"/>
    <x v="0"/>
    <s v="$280 "/>
    <n v="311"/>
  </r>
  <r>
    <x v="6"/>
    <x v="3"/>
    <x v="0"/>
    <d v="2022-08-01T00:00:00"/>
    <x v="1"/>
    <s v="2022"/>
    <x v="1"/>
    <s v="$63 "/>
    <n v="181"/>
  </r>
  <r>
    <x v="13"/>
    <x v="3"/>
    <x v="5"/>
    <d v="2022-05-25T00:00:00"/>
    <x v="7"/>
    <s v="2022"/>
    <x v="3"/>
    <s v="$8,001 "/>
    <n v="10"/>
  </r>
  <r>
    <x v="13"/>
    <x v="5"/>
    <x v="10"/>
    <d v="2022-01-10T00:00:00"/>
    <x v="0"/>
    <s v="2022"/>
    <x v="1"/>
    <s v="$4,032 "/>
    <n v="82"/>
  </r>
  <r>
    <x v="17"/>
    <x v="2"/>
    <x v="21"/>
    <d v="2022-02-07T00:00:00"/>
    <x v="4"/>
    <s v="2022"/>
    <x v="1"/>
    <s v="$5,859 "/>
    <n v="108"/>
  </r>
  <r>
    <x v="10"/>
    <x v="4"/>
    <x v="7"/>
    <d v="2022-05-12T00:00:00"/>
    <x v="7"/>
    <s v="2022"/>
    <x v="2"/>
    <s v="$11,095 "/>
    <n v="401"/>
  </r>
  <r>
    <x v="22"/>
    <x v="2"/>
    <x v="12"/>
    <d v="2022-03-07T00:00:00"/>
    <x v="6"/>
    <s v="2022"/>
    <x v="1"/>
    <s v="$7,182 "/>
    <n v="408"/>
  </r>
  <r>
    <x v="17"/>
    <x v="2"/>
    <x v="1"/>
    <d v="2022-04-05T00:00:00"/>
    <x v="3"/>
    <s v="2022"/>
    <x v="0"/>
    <s v="$6,881 "/>
    <n v="420"/>
  </r>
  <r>
    <x v="19"/>
    <x v="5"/>
    <x v="20"/>
    <d v="2022-01-03T00:00:00"/>
    <x v="0"/>
    <s v="2022"/>
    <x v="1"/>
    <s v="$7,154 "/>
    <n v="348"/>
  </r>
  <r>
    <x v="17"/>
    <x v="0"/>
    <x v="8"/>
    <d v="2022-03-24T00:00:00"/>
    <x v="6"/>
    <s v="2022"/>
    <x v="2"/>
    <s v="$6,188 "/>
    <n v="270"/>
  </r>
  <r>
    <x v="22"/>
    <x v="1"/>
    <x v="17"/>
    <d v="2022-07-07T00:00:00"/>
    <x v="2"/>
    <s v="2022"/>
    <x v="2"/>
    <s v="$4,221 "/>
    <n v="9"/>
  </r>
  <r>
    <x v="1"/>
    <x v="4"/>
    <x v="5"/>
    <d v="2022-07-26T00:00:00"/>
    <x v="2"/>
    <s v="2022"/>
    <x v="0"/>
    <s v="$630 "/>
    <n v="264"/>
  </r>
  <r>
    <x v="18"/>
    <x v="2"/>
    <x v="10"/>
    <d v="2022-07-07T00:00:00"/>
    <x v="2"/>
    <s v="2022"/>
    <x v="2"/>
    <s v="$1,743 "/>
    <n v="111"/>
  </r>
  <r>
    <x v="10"/>
    <x v="5"/>
    <x v="6"/>
    <d v="2022-07-15T00:00:00"/>
    <x v="2"/>
    <s v="2022"/>
    <x v="4"/>
    <s v="$2,919 "/>
    <n v="65"/>
  </r>
  <r>
    <x v="13"/>
    <x v="3"/>
    <x v="7"/>
    <d v="2022-04-01T00:00:00"/>
    <x v="3"/>
    <s v="2022"/>
    <x v="4"/>
    <s v="$49 "/>
    <n v="97"/>
  </r>
  <r>
    <x v="12"/>
    <x v="2"/>
    <x v="8"/>
    <d v="2022-06-20T00:00:00"/>
    <x v="5"/>
    <s v="2022"/>
    <x v="1"/>
    <s v="$1,827 "/>
    <n v="6"/>
  </r>
  <r>
    <x v="20"/>
    <x v="0"/>
    <x v="13"/>
    <d v="2022-06-29T00:00:00"/>
    <x v="5"/>
    <s v="2022"/>
    <x v="3"/>
    <s v="$13,006 "/>
    <n v="482"/>
  </r>
  <r>
    <x v="11"/>
    <x v="4"/>
    <x v="6"/>
    <d v="2022-06-15T00:00:00"/>
    <x v="5"/>
    <s v="2022"/>
    <x v="3"/>
    <s v="$1,064 "/>
    <n v="106"/>
  </r>
  <r>
    <x v="15"/>
    <x v="4"/>
    <x v="5"/>
    <d v="2022-04-08T00:00:00"/>
    <x v="3"/>
    <s v="2022"/>
    <x v="4"/>
    <s v="$11,571 "/>
    <n v="180"/>
  </r>
  <r>
    <x v="17"/>
    <x v="2"/>
    <x v="17"/>
    <d v="2022-03-14T00:00:00"/>
    <x v="6"/>
    <s v="2022"/>
    <x v="1"/>
    <s v="$5,740 "/>
    <n v="31"/>
  </r>
  <r>
    <x v="19"/>
    <x v="4"/>
    <x v="13"/>
    <d v="2022-07-15T00:00:00"/>
    <x v="2"/>
    <s v="2022"/>
    <x v="4"/>
    <s v="$1,456 "/>
    <n v="359"/>
  </r>
  <r>
    <x v="20"/>
    <x v="1"/>
    <x v="8"/>
    <d v="2022-04-19T00:00:00"/>
    <x v="3"/>
    <s v="2022"/>
    <x v="0"/>
    <s v="$5,334 "/>
    <n v="80"/>
  </r>
  <r>
    <x v="11"/>
    <x v="4"/>
    <x v="4"/>
    <d v="2022-03-28T00:00:00"/>
    <x v="6"/>
    <s v="2022"/>
    <x v="1"/>
    <s v="$4,151 "/>
    <n v="296"/>
  </r>
  <r>
    <x v="6"/>
    <x v="5"/>
    <x v="12"/>
    <d v="2022-03-04T00:00:00"/>
    <x v="6"/>
    <s v="2022"/>
    <x v="4"/>
    <s v="$8,106 "/>
    <n v="101"/>
  </r>
  <r>
    <x v="10"/>
    <x v="3"/>
    <x v="21"/>
    <d v="2022-08-02T00:00:00"/>
    <x v="1"/>
    <s v="2022"/>
    <x v="0"/>
    <s v="$126 "/>
    <n v="40"/>
  </r>
  <r>
    <x v="15"/>
    <x v="0"/>
    <x v="12"/>
    <d v="2022-08-25T00:00:00"/>
    <x v="1"/>
    <s v="2022"/>
    <x v="2"/>
    <s v="$4,697 "/>
    <n v="42"/>
  </r>
  <r>
    <x v="11"/>
    <x v="4"/>
    <x v="16"/>
    <d v="2022-02-25T00:00:00"/>
    <x v="4"/>
    <s v="2022"/>
    <x v="4"/>
    <s v="$7,798 "/>
    <n v="167"/>
  </r>
  <r>
    <x v="20"/>
    <x v="1"/>
    <x v="7"/>
    <d v="2022-06-07T00:00:00"/>
    <x v="5"/>
    <s v="2022"/>
    <x v="0"/>
    <s v="$9,408 "/>
    <n v="138"/>
  </r>
  <r>
    <x v="3"/>
    <x v="1"/>
    <x v="12"/>
    <d v="2022-04-12T00:00:00"/>
    <x v="3"/>
    <s v="2022"/>
    <x v="0"/>
    <s v="$1,939 "/>
    <n v="520"/>
  </r>
  <r>
    <x v="24"/>
    <x v="1"/>
    <x v="12"/>
    <d v="2022-07-06T00:00:00"/>
    <x v="2"/>
    <s v="2022"/>
    <x v="3"/>
    <s v="$10,906 "/>
    <n v="94"/>
  </r>
  <r>
    <x v="20"/>
    <x v="0"/>
    <x v="3"/>
    <d v="2022-01-19T00:00:00"/>
    <x v="0"/>
    <s v="2022"/>
    <x v="3"/>
    <s v="$5,929 "/>
    <n v="175"/>
  </r>
  <r>
    <x v="22"/>
    <x v="2"/>
    <x v="13"/>
    <d v="2022-01-05T00:00:00"/>
    <x v="0"/>
    <s v="2022"/>
    <x v="3"/>
    <s v="$5,579 "/>
    <n v="92"/>
  </r>
  <r>
    <x v="22"/>
    <x v="5"/>
    <x v="21"/>
    <d v="2022-01-24T00:00:00"/>
    <x v="0"/>
    <s v="2022"/>
    <x v="1"/>
    <s v="$10,927 "/>
    <n v="141"/>
  </r>
  <r>
    <x v="18"/>
    <x v="2"/>
    <x v="9"/>
    <d v="2022-04-06T00:00:00"/>
    <x v="3"/>
    <s v="2022"/>
    <x v="3"/>
    <s v="$623 "/>
    <n v="283"/>
  </r>
  <r>
    <x v="5"/>
    <x v="2"/>
    <x v="13"/>
    <d v="2022-06-15T00:00:00"/>
    <x v="5"/>
    <s v="2022"/>
    <x v="3"/>
    <s v="$6,013 "/>
    <n v="21"/>
  </r>
  <r>
    <x v="2"/>
    <x v="5"/>
    <x v="19"/>
    <d v="2022-01-28T00:00:00"/>
    <x v="0"/>
    <s v="2022"/>
    <x v="4"/>
    <s v="$1,505 "/>
    <n v="47"/>
  </r>
  <r>
    <x v="20"/>
    <x v="1"/>
    <x v="20"/>
    <d v="2022-03-16T00:00:00"/>
    <x v="6"/>
    <s v="2022"/>
    <x v="3"/>
    <s v="$476 "/>
    <n v="125"/>
  </r>
  <r>
    <x v="7"/>
    <x v="2"/>
    <x v="9"/>
    <d v="2022-02-21T00:00:00"/>
    <x v="4"/>
    <s v="2022"/>
    <x v="1"/>
    <s v="$11,550 "/>
    <n v="396"/>
  </r>
  <r>
    <x v="20"/>
    <x v="4"/>
    <x v="15"/>
    <d v="2022-02-16T00:00:00"/>
    <x v="4"/>
    <s v="2022"/>
    <x v="3"/>
    <s v="$17,318 "/>
    <n v="87"/>
  </r>
  <r>
    <x v="0"/>
    <x v="5"/>
    <x v="12"/>
    <d v="2022-01-13T00:00:00"/>
    <x v="0"/>
    <s v="2022"/>
    <x v="2"/>
    <s v="$1,848 "/>
    <n v="27"/>
  </r>
  <r>
    <x v="20"/>
    <x v="2"/>
    <x v="8"/>
    <d v="2022-03-23T00:00:00"/>
    <x v="6"/>
    <s v="2022"/>
    <x v="3"/>
    <s v="$7,273 "/>
    <n v="547"/>
  </r>
  <r>
    <x v="14"/>
    <x v="5"/>
    <x v="12"/>
    <d v="2022-06-16T00:00:00"/>
    <x v="5"/>
    <s v="2022"/>
    <x v="2"/>
    <s v="$854 "/>
    <n v="118"/>
  </r>
  <r>
    <x v="4"/>
    <x v="1"/>
    <x v="17"/>
    <d v="2022-04-14T00:00:00"/>
    <x v="3"/>
    <s v="2022"/>
    <x v="2"/>
    <s v="$6,832 "/>
    <n v="46"/>
  </r>
  <r>
    <x v="20"/>
    <x v="0"/>
    <x v="8"/>
    <d v="2022-01-25T00:00:00"/>
    <x v="0"/>
    <s v="2022"/>
    <x v="0"/>
    <s v="$4,606 "/>
    <n v="57"/>
  </r>
  <r>
    <x v="3"/>
    <x v="1"/>
    <x v="16"/>
    <d v="2022-03-11T00:00:00"/>
    <x v="6"/>
    <s v="2022"/>
    <x v="4"/>
    <s v="$4,466 "/>
    <n v="22"/>
  </r>
  <r>
    <x v="23"/>
    <x v="0"/>
    <x v="16"/>
    <d v="2022-07-28T00:00:00"/>
    <x v="2"/>
    <s v="2022"/>
    <x v="2"/>
    <s v="$16,114 "/>
    <n v="96"/>
  </r>
  <r>
    <x v="11"/>
    <x v="3"/>
    <x v="5"/>
    <d v="2022-03-09T00:00:00"/>
    <x v="6"/>
    <s v="2022"/>
    <x v="3"/>
    <s v="$1,561 "/>
    <n v="44"/>
  </r>
  <r>
    <x v="15"/>
    <x v="2"/>
    <x v="7"/>
    <d v="2022-06-28T00:00:00"/>
    <x v="5"/>
    <s v="2022"/>
    <x v="0"/>
    <s v="$8,897 "/>
    <n v="188"/>
  </r>
  <r>
    <x v="11"/>
    <x v="2"/>
    <x v="11"/>
    <d v="2022-07-28T00:00:00"/>
    <x v="2"/>
    <s v="2022"/>
    <x v="2"/>
    <s v="$2,464 "/>
    <n v="387"/>
  </r>
  <r>
    <x v="20"/>
    <x v="5"/>
    <x v="4"/>
    <d v="2022-08-15T00:00:00"/>
    <x v="1"/>
    <s v="2022"/>
    <x v="1"/>
    <s v="$4,830 "/>
    <n v="50"/>
  </r>
  <r>
    <x v="16"/>
    <x v="2"/>
    <x v="15"/>
    <d v="2022-01-12T00:00:00"/>
    <x v="0"/>
    <s v="2022"/>
    <x v="3"/>
    <s v="$2,765 "/>
    <n v="264"/>
  </r>
  <r>
    <x v="12"/>
    <x v="3"/>
    <x v="14"/>
    <d v="2022-03-24T00:00:00"/>
    <x v="6"/>
    <s v="2022"/>
    <x v="2"/>
    <s v="$7,126 "/>
    <n v="7"/>
  </r>
  <r>
    <x v="1"/>
    <x v="0"/>
    <x v="11"/>
    <d v="2022-07-25T00:00:00"/>
    <x v="2"/>
    <s v="2022"/>
    <x v="1"/>
    <s v="$4,263 "/>
    <n v="90"/>
  </r>
  <r>
    <x v="4"/>
    <x v="5"/>
    <x v="4"/>
    <d v="2022-08-01T00:00:00"/>
    <x v="1"/>
    <s v="2022"/>
    <x v="1"/>
    <s v="$3,605 "/>
    <n v="403"/>
  </r>
  <r>
    <x v="1"/>
    <x v="1"/>
    <x v="10"/>
    <d v="2022-05-16T00:00:00"/>
    <x v="7"/>
    <s v="2022"/>
    <x v="1"/>
    <s v="$19,929 "/>
    <n v="174"/>
  </r>
  <r>
    <x v="13"/>
    <x v="1"/>
    <x v="3"/>
    <d v="2022-08-10T00:00:00"/>
    <x v="1"/>
    <s v="2022"/>
    <x v="3"/>
    <s v="$5,103 "/>
    <n v="140"/>
  </r>
  <r>
    <x v="3"/>
    <x v="1"/>
    <x v="8"/>
    <d v="2022-01-05T00:00:00"/>
    <x v="0"/>
    <s v="2022"/>
    <x v="3"/>
    <s v="$2,541 "/>
    <n v="27"/>
  </r>
  <r>
    <x v="24"/>
    <x v="0"/>
    <x v="3"/>
    <d v="2022-07-11T00:00:00"/>
    <x v="2"/>
    <s v="2022"/>
    <x v="1"/>
    <s v="$5,663 "/>
    <n v="110"/>
  </r>
  <r>
    <x v="18"/>
    <x v="4"/>
    <x v="5"/>
    <d v="2022-04-25T00:00:00"/>
    <x v="3"/>
    <s v="2022"/>
    <x v="1"/>
    <s v="$392 "/>
    <n v="30"/>
  </r>
  <r>
    <x v="2"/>
    <x v="3"/>
    <x v="13"/>
    <d v="2022-04-04T00:00:00"/>
    <x v="3"/>
    <s v="2022"/>
    <x v="1"/>
    <s v="$10,976 "/>
    <n v="121"/>
  </r>
  <r>
    <x v="8"/>
    <x v="4"/>
    <x v="17"/>
    <d v="2022-04-12T00:00:00"/>
    <x v="3"/>
    <s v="2022"/>
    <x v="0"/>
    <s v="$9,282 "/>
    <n v="101"/>
  </r>
  <r>
    <x v="18"/>
    <x v="3"/>
    <x v="1"/>
    <d v="2022-08-02T00:00:00"/>
    <x v="1"/>
    <s v="2022"/>
    <x v="0"/>
    <s v="$1,827 "/>
    <n v="117"/>
  </r>
  <r>
    <x v="2"/>
    <x v="3"/>
    <x v="15"/>
    <d v="2022-06-28T00:00:00"/>
    <x v="5"/>
    <s v="2022"/>
    <x v="0"/>
    <s v="$8,267 "/>
    <n v="272"/>
  </r>
  <r>
    <x v="24"/>
    <x v="2"/>
    <x v="8"/>
    <d v="2022-07-05T00:00:00"/>
    <x v="2"/>
    <s v="2022"/>
    <x v="0"/>
    <s v="$4,116 "/>
    <n v="128"/>
  </r>
  <r>
    <x v="7"/>
    <x v="3"/>
    <x v="18"/>
    <d v="2022-06-07T00:00:00"/>
    <x v="5"/>
    <s v="2022"/>
    <x v="0"/>
    <s v="$2,093 "/>
    <n v="45"/>
  </r>
  <r>
    <x v="6"/>
    <x v="3"/>
    <x v="3"/>
    <d v="2022-01-18T00:00:00"/>
    <x v="0"/>
    <s v="2022"/>
    <x v="0"/>
    <s v="$1,015 "/>
    <n v="27"/>
  </r>
  <r>
    <x v="6"/>
    <x v="2"/>
    <x v="19"/>
    <d v="2022-01-04T00:00:00"/>
    <x v="0"/>
    <s v="2022"/>
    <x v="0"/>
    <s v="$12,516 "/>
    <n v="212"/>
  </r>
  <r>
    <x v="17"/>
    <x v="2"/>
    <x v="4"/>
    <d v="2022-01-31T00:00:00"/>
    <x v="0"/>
    <s v="2022"/>
    <x v="1"/>
    <s v="$2,758 "/>
    <n v="18"/>
  </r>
  <r>
    <x v="20"/>
    <x v="1"/>
    <x v="16"/>
    <d v="2022-03-14T00:00:00"/>
    <x v="6"/>
    <s v="2022"/>
    <x v="1"/>
    <s v="$3,297 "/>
    <n v="149"/>
  </r>
  <r>
    <x v="21"/>
    <x v="2"/>
    <x v="21"/>
    <d v="2022-04-29T00:00:00"/>
    <x v="3"/>
    <s v="2022"/>
    <x v="4"/>
    <s v="$6,048 "/>
    <n v="477"/>
  </r>
  <r>
    <x v="4"/>
    <x v="1"/>
    <x v="3"/>
    <d v="2022-02-07T00:00:00"/>
    <x v="4"/>
    <s v="2022"/>
    <x v="1"/>
    <s v="$10,101 "/>
    <n v="108"/>
  </r>
  <r>
    <x v="16"/>
    <x v="0"/>
    <x v="10"/>
    <d v="2022-03-31T00:00:00"/>
    <x v="6"/>
    <s v="2022"/>
    <x v="2"/>
    <s v="$2,282 "/>
    <n v="178"/>
  </r>
  <r>
    <x v="11"/>
    <x v="1"/>
    <x v="20"/>
    <d v="2022-03-16T00:00:00"/>
    <x v="6"/>
    <s v="2022"/>
    <x v="3"/>
    <s v="$4,361 "/>
    <n v="81"/>
  </r>
  <r>
    <x v="10"/>
    <x v="0"/>
    <x v="8"/>
    <d v="2022-01-25T00:00:00"/>
    <x v="0"/>
    <s v="2022"/>
    <x v="0"/>
    <s v="$7,798 "/>
    <n v="196"/>
  </r>
  <r>
    <x v="1"/>
    <x v="1"/>
    <x v="19"/>
    <d v="2022-06-20T00:00:00"/>
    <x v="5"/>
    <s v="2022"/>
    <x v="1"/>
    <s v="$3,052 "/>
    <n v="447"/>
  </r>
  <r>
    <x v="2"/>
    <x v="0"/>
    <x v="5"/>
    <d v="2022-03-29T00:00:00"/>
    <x v="6"/>
    <s v="2022"/>
    <x v="0"/>
    <s v="$8,029 "/>
    <n v="175"/>
  </r>
  <r>
    <x v="14"/>
    <x v="2"/>
    <x v="7"/>
    <d v="2022-07-12T00:00:00"/>
    <x v="2"/>
    <s v="2022"/>
    <x v="0"/>
    <s v="$854 "/>
    <n v="136"/>
  </r>
  <r>
    <x v="0"/>
    <x v="5"/>
    <x v="3"/>
    <d v="2022-07-11T00:00:00"/>
    <x v="2"/>
    <s v="2022"/>
    <x v="1"/>
    <s v="$5,460 "/>
    <n v="138"/>
  </r>
  <r>
    <x v="10"/>
    <x v="5"/>
    <x v="3"/>
    <d v="2022-01-19T00:00:00"/>
    <x v="0"/>
    <s v="2022"/>
    <x v="3"/>
    <s v="$3,017 "/>
    <n v="184"/>
  </r>
  <r>
    <x v="19"/>
    <x v="4"/>
    <x v="1"/>
    <d v="2022-04-05T00:00:00"/>
    <x v="3"/>
    <s v="2022"/>
    <x v="0"/>
    <s v="$8,911 "/>
    <n v="82"/>
  </r>
  <r>
    <x v="0"/>
    <x v="5"/>
    <x v="11"/>
    <d v="2022-02-21T00:00:00"/>
    <x v="4"/>
    <s v="2022"/>
    <x v="1"/>
    <s v="$7,203 "/>
    <n v="12"/>
  </r>
  <r>
    <x v="7"/>
    <x v="3"/>
    <x v="20"/>
    <d v="2022-05-20T00:00:00"/>
    <x v="7"/>
    <s v="2022"/>
    <x v="4"/>
    <s v="$13,083 "/>
    <n v="14"/>
  </r>
  <r>
    <x v="9"/>
    <x v="2"/>
    <x v="11"/>
    <d v="2022-07-29T00:00:00"/>
    <x v="2"/>
    <s v="2022"/>
    <x v="4"/>
    <s v="$2,779 "/>
    <n v="104"/>
  </r>
  <r>
    <x v="8"/>
    <x v="4"/>
    <x v="13"/>
    <d v="2022-01-28T00:00:00"/>
    <x v="0"/>
    <s v="2022"/>
    <x v="4"/>
    <s v="$9,058 "/>
    <n v="46"/>
  </r>
  <r>
    <x v="11"/>
    <x v="0"/>
    <x v="20"/>
    <d v="2022-07-19T00:00:00"/>
    <x v="2"/>
    <s v="2022"/>
    <x v="0"/>
    <s v="$3,549 "/>
    <n v="112"/>
  </r>
  <r>
    <x v="9"/>
    <x v="3"/>
    <x v="15"/>
    <d v="2022-04-13T00:00:00"/>
    <x v="3"/>
    <s v="2022"/>
    <x v="3"/>
    <s v="$9,436 "/>
    <n v="11"/>
  </r>
  <r>
    <x v="13"/>
    <x v="1"/>
    <x v="2"/>
    <d v="2022-02-11T00:00:00"/>
    <x v="4"/>
    <s v="2022"/>
    <x v="4"/>
    <s v="$10,283 "/>
    <n v="21"/>
  </r>
  <r>
    <x v="13"/>
    <x v="3"/>
    <x v="11"/>
    <d v="2022-03-02T00:00:00"/>
    <x v="6"/>
    <s v="2022"/>
    <x v="3"/>
    <s v="$5,446 "/>
    <n v="116"/>
  </r>
  <r>
    <x v="24"/>
    <x v="2"/>
    <x v="14"/>
    <d v="2022-03-02T00:00:00"/>
    <x v="6"/>
    <s v="2022"/>
    <x v="3"/>
    <s v="$1,043 "/>
    <n v="202"/>
  </r>
  <r>
    <x v="1"/>
    <x v="4"/>
    <x v="4"/>
    <d v="2022-07-28T00:00:00"/>
    <x v="2"/>
    <s v="2022"/>
    <x v="2"/>
    <s v="$12,586 "/>
    <n v="6"/>
  </r>
  <r>
    <x v="20"/>
    <x v="1"/>
    <x v="5"/>
    <d v="2022-01-07T00:00:00"/>
    <x v="0"/>
    <s v="2022"/>
    <x v="4"/>
    <s v="$1,687 "/>
    <n v="520"/>
  </r>
  <r>
    <x v="6"/>
    <x v="0"/>
    <x v="14"/>
    <d v="2022-04-12T00:00:00"/>
    <x v="3"/>
    <s v="2022"/>
    <x v="0"/>
    <s v="$5,299 "/>
    <n v="167"/>
  </r>
  <r>
    <x v="1"/>
    <x v="5"/>
    <x v="16"/>
    <d v="2022-06-27T00:00:00"/>
    <x v="5"/>
    <s v="2022"/>
    <x v="1"/>
    <s v="$3,213 "/>
    <n v="72"/>
  </r>
  <r>
    <x v="0"/>
    <x v="2"/>
    <x v="6"/>
    <d v="2022-01-14T00:00:00"/>
    <x v="0"/>
    <s v="2022"/>
    <x v="4"/>
    <s v="$5,194 "/>
    <n v="418"/>
  </r>
  <r>
    <x v="10"/>
    <x v="0"/>
    <x v="19"/>
    <d v="2022-02-07T00:00:00"/>
    <x v="4"/>
    <s v="2022"/>
    <x v="1"/>
    <s v="$4,753 "/>
    <n v="389"/>
  </r>
  <r>
    <x v="0"/>
    <x v="2"/>
    <x v="7"/>
    <d v="2022-03-23T00:00:00"/>
    <x v="6"/>
    <s v="2022"/>
    <x v="3"/>
    <s v="$13,706 "/>
    <n v="26"/>
  </r>
  <r>
    <x v="11"/>
    <x v="1"/>
    <x v="2"/>
    <d v="2022-01-10T00:00:00"/>
    <x v="0"/>
    <s v="2022"/>
    <x v="1"/>
    <s v="$6,489 "/>
    <n v="146"/>
  </r>
  <r>
    <x v="4"/>
    <x v="0"/>
    <x v="18"/>
    <d v="2022-03-17T00:00:00"/>
    <x v="6"/>
    <s v="2022"/>
    <x v="2"/>
    <s v="$9,324 "/>
    <n v="41"/>
  </r>
  <r>
    <x v="2"/>
    <x v="4"/>
    <x v="12"/>
    <d v="2022-01-21T00:00:00"/>
    <x v="0"/>
    <s v="2022"/>
    <x v="4"/>
    <s v="$10,829 "/>
    <n v="54"/>
  </r>
  <r>
    <x v="8"/>
    <x v="2"/>
    <x v="14"/>
    <d v="2022-07-04T00:00:00"/>
    <x v="2"/>
    <s v="2022"/>
    <x v="1"/>
    <s v="$8,113 "/>
    <n v="370"/>
  </r>
  <r>
    <x v="16"/>
    <x v="5"/>
    <x v="2"/>
    <d v="2022-07-04T00:00:00"/>
    <x v="2"/>
    <s v="2022"/>
    <x v="1"/>
    <s v="$3,269 "/>
    <n v="176"/>
  </r>
  <r>
    <x v="23"/>
    <x v="4"/>
    <x v="15"/>
    <d v="2022-08-10T00:00:00"/>
    <x v="1"/>
    <s v="2022"/>
    <x v="3"/>
    <s v="$273 "/>
    <n v="210"/>
  </r>
  <r>
    <x v="17"/>
    <x v="2"/>
    <x v="6"/>
    <d v="2022-04-01T00:00:00"/>
    <x v="3"/>
    <s v="2022"/>
    <x v="4"/>
    <s v="$7,287 "/>
    <n v="12"/>
  </r>
  <r>
    <x v="2"/>
    <x v="1"/>
    <x v="17"/>
    <d v="2022-02-22T00:00:00"/>
    <x v="4"/>
    <s v="2022"/>
    <x v="0"/>
    <s v="$2,583 "/>
    <n v="159"/>
  </r>
  <r>
    <x v="21"/>
    <x v="0"/>
    <x v="14"/>
    <d v="2022-01-03T00:00:00"/>
    <x v="0"/>
    <s v="2022"/>
    <x v="1"/>
    <s v="$9,982 "/>
    <n v="187"/>
  </r>
  <r>
    <x v="10"/>
    <x v="1"/>
    <x v="9"/>
    <d v="2022-05-31T00:00:00"/>
    <x v="7"/>
    <s v="2022"/>
    <x v="0"/>
    <s v="$4,795 "/>
    <n v="233"/>
  </r>
  <r>
    <x v="23"/>
    <x v="0"/>
    <x v="4"/>
    <d v="2022-01-03T00:00:00"/>
    <x v="0"/>
    <s v="2022"/>
    <x v="1"/>
    <s v="$9,310 "/>
    <n v="282"/>
  </r>
  <r>
    <x v="15"/>
    <x v="3"/>
    <x v="20"/>
    <d v="2022-01-27T00:00:00"/>
    <x v="0"/>
    <s v="2022"/>
    <x v="2"/>
    <s v="$497 "/>
    <n v="475"/>
  </r>
  <r>
    <x v="8"/>
    <x v="0"/>
    <x v="6"/>
    <d v="2022-01-28T00:00:00"/>
    <x v="0"/>
    <s v="2022"/>
    <x v="4"/>
    <s v="$581 "/>
    <n v="65"/>
  </r>
  <r>
    <x v="14"/>
    <x v="2"/>
    <x v="10"/>
    <d v="2022-06-28T00:00:00"/>
    <x v="5"/>
    <s v="2022"/>
    <x v="0"/>
    <s v="$3,472 "/>
    <n v="311"/>
  </r>
  <r>
    <x v="15"/>
    <x v="0"/>
    <x v="18"/>
    <d v="2022-03-02T00:00:00"/>
    <x v="6"/>
    <s v="2022"/>
    <x v="3"/>
    <s v="$4,333 "/>
    <n v="43"/>
  </r>
  <r>
    <x v="18"/>
    <x v="2"/>
    <x v="5"/>
    <d v="2022-05-27T00:00:00"/>
    <x v="7"/>
    <s v="2022"/>
    <x v="4"/>
    <s v="$3,325 "/>
    <n v="26"/>
  </r>
  <r>
    <x v="17"/>
    <x v="4"/>
    <x v="16"/>
    <d v="2022-06-30T00:00:00"/>
    <x v="5"/>
    <s v="2022"/>
    <x v="2"/>
    <s v="$11,718 "/>
    <n v="84"/>
  </r>
  <r>
    <x v="8"/>
    <x v="5"/>
    <x v="2"/>
    <d v="2022-06-07T00:00:00"/>
    <x v="5"/>
    <s v="2022"/>
    <x v="0"/>
    <s v="$2,100 "/>
    <n v="78"/>
  </r>
  <r>
    <x v="16"/>
    <x v="4"/>
    <x v="21"/>
    <d v="2022-05-12T00:00:00"/>
    <x v="7"/>
    <s v="2022"/>
    <x v="2"/>
    <s v="$4,018 "/>
    <n v="100"/>
  </r>
  <r>
    <x v="8"/>
    <x v="3"/>
    <x v="17"/>
    <d v="2022-07-29T00:00:00"/>
    <x v="2"/>
    <s v="2022"/>
    <x v="4"/>
    <s v="$6,468 "/>
    <n v="66"/>
  </r>
  <r>
    <x v="17"/>
    <x v="0"/>
    <x v="14"/>
    <d v="2022-08-03T00:00:00"/>
    <x v="1"/>
    <s v="2022"/>
    <x v="3"/>
    <s v="$7,238 "/>
    <n v="265"/>
  </r>
  <r>
    <x v="8"/>
    <x v="1"/>
    <x v="19"/>
    <d v="2022-08-18T00:00:00"/>
    <x v="1"/>
    <s v="2022"/>
    <x v="2"/>
    <s v="$6,454 "/>
    <n v="141"/>
  </r>
  <r>
    <x v="1"/>
    <x v="3"/>
    <x v="3"/>
    <d v="2022-06-14T00:00:00"/>
    <x v="5"/>
    <s v="2022"/>
    <x v="0"/>
    <s v="$3,115 "/>
    <n v="42"/>
  </r>
  <r>
    <x v="12"/>
    <x v="0"/>
    <x v="14"/>
    <d v="2022-06-30T00:00:00"/>
    <x v="5"/>
    <s v="2022"/>
    <x v="2"/>
    <s v="$6,475 "/>
    <n v="76"/>
  </r>
  <r>
    <x v="21"/>
    <x v="3"/>
    <x v="0"/>
    <d v="2022-06-13T00:00:00"/>
    <x v="5"/>
    <s v="2022"/>
    <x v="1"/>
    <s v="$1,162 "/>
    <n v="190"/>
  </r>
  <r>
    <x v="24"/>
    <x v="0"/>
    <x v="7"/>
    <d v="2022-04-27T00:00:00"/>
    <x v="3"/>
    <s v="2022"/>
    <x v="3"/>
    <s v="$14,238 "/>
    <n v="54"/>
  </r>
  <r>
    <x v="3"/>
    <x v="2"/>
    <x v="14"/>
    <d v="2022-07-27T00:00:00"/>
    <x v="2"/>
    <s v="2022"/>
    <x v="3"/>
    <s v="$3,472 "/>
    <n v="32"/>
  </r>
  <r>
    <x v="9"/>
    <x v="5"/>
    <x v="1"/>
    <d v="2022-04-20T00:00:00"/>
    <x v="3"/>
    <s v="2022"/>
    <x v="3"/>
    <s v="$1,428 "/>
    <n v="424"/>
  </r>
  <r>
    <x v="7"/>
    <x v="1"/>
    <x v="12"/>
    <d v="2022-01-04T00:00:00"/>
    <x v="0"/>
    <s v="2022"/>
    <x v="0"/>
    <s v="$8,064 "/>
    <n v="134"/>
  </r>
  <r>
    <x v="24"/>
    <x v="2"/>
    <x v="0"/>
    <d v="2022-02-21T00:00:00"/>
    <x v="4"/>
    <s v="2022"/>
    <x v="1"/>
    <s v="$9,660 "/>
    <n v="92"/>
  </r>
  <r>
    <x v="10"/>
    <x v="2"/>
    <x v="14"/>
    <d v="2022-01-05T00:00:00"/>
    <x v="0"/>
    <s v="2022"/>
    <x v="3"/>
    <s v="$7,357 "/>
    <n v="48"/>
  </r>
  <r>
    <x v="12"/>
    <x v="1"/>
    <x v="9"/>
    <d v="2022-07-15T00:00:00"/>
    <x v="2"/>
    <s v="2022"/>
    <x v="4"/>
    <s v="$6,055 "/>
    <n v="46"/>
  </r>
  <r>
    <x v="6"/>
    <x v="2"/>
    <x v="18"/>
    <d v="2022-05-25T00:00:00"/>
    <x v="7"/>
    <s v="2022"/>
    <x v="3"/>
    <s v="$5,124 "/>
    <n v="62"/>
  </r>
  <r>
    <x v="10"/>
    <x v="5"/>
    <x v="8"/>
    <d v="2022-04-20T00:00:00"/>
    <x v="3"/>
    <s v="2022"/>
    <x v="3"/>
    <s v="$3,479 "/>
    <n v="358"/>
  </r>
  <r>
    <x v="2"/>
    <x v="4"/>
    <x v="4"/>
    <d v="2022-06-02T00:00:00"/>
    <x v="5"/>
    <s v="2022"/>
    <x v="2"/>
    <s v="$784 "/>
    <n v="249"/>
  </r>
  <r>
    <x v="11"/>
    <x v="0"/>
    <x v="3"/>
    <d v="2022-05-13T00:00:00"/>
    <x v="7"/>
    <s v="2022"/>
    <x v="4"/>
    <s v="$18,991 "/>
    <n v="88"/>
  </r>
  <r>
    <x v="12"/>
    <x v="3"/>
    <x v="19"/>
    <d v="2022-08-03T00:00:00"/>
    <x v="1"/>
    <s v="2022"/>
    <x v="3"/>
    <s v="$1,372 "/>
    <n v="144"/>
  </r>
  <r>
    <x v="12"/>
    <x v="2"/>
    <x v="11"/>
    <d v="2022-05-25T00:00:00"/>
    <x v="7"/>
    <s v="2022"/>
    <x v="3"/>
    <s v="$735 "/>
    <n v="390"/>
  </r>
  <r>
    <x v="1"/>
    <x v="0"/>
    <x v="17"/>
    <d v="2022-03-16T00:00:00"/>
    <x v="6"/>
    <s v="2022"/>
    <x v="3"/>
    <s v="$6,538 "/>
    <n v="79"/>
  </r>
  <r>
    <x v="3"/>
    <x v="2"/>
    <x v="7"/>
    <d v="2022-07-04T00:00:00"/>
    <x v="2"/>
    <s v="2022"/>
    <x v="1"/>
    <s v="$3,199 "/>
    <n v="122"/>
  </r>
  <r>
    <x v="0"/>
    <x v="1"/>
    <x v="6"/>
    <d v="2022-07-05T00:00:00"/>
    <x v="2"/>
    <s v="2022"/>
    <x v="0"/>
    <s v="$3,472 "/>
    <n v="135"/>
  </r>
  <r>
    <x v="22"/>
    <x v="4"/>
    <x v="5"/>
    <d v="2022-03-15T00:00:00"/>
    <x v="6"/>
    <s v="2022"/>
    <x v="0"/>
    <s v="$4,571 "/>
    <n v="430"/>
  </r>
  <r>
    <x v="8"/>
    <x v="0"/>
    <x v="17"/>
    <d v="2022-08-22T00:00:00"/>
    <x v="1"/>
    <s v="2022"/>
    <x v="1"/>
    <s v="$5,481 "/>
    <n v="69"/>
  </r>
  <r>
    <x v="24"/>
    <x v="2"/>
    <x v="21"/>
    <d v="2022-01-12T00:00:00"/>
    <x v="0"/>
    <s v="2022"/>
    <x v="3"/>
    <s v="$3,136 "/>
    <n v="125"/>
  </r>
  <r>
    <x v="11"/>
    <x v="0"/>
    <x v="19"/>
    <d v="2022-06-10T00:00:00"/>
    <x v="5"/>
    <s v="2022"/>
    <x v="4"/>
    <s v="$252 "/>
    <n v="154"/>
  </r>
  <r>
    <x v="16"/>
    <x v="2"/>
    <x v="2"/>
    <d v="2022-03-25T00:00:00"/>
    <x v="6"/>
    <s v="2022"/>
    <x v="4"/>
    <s v="$5,460 "/>
    <n v="286"/>
  </r>
  <r>
    <x v="7"/>
    <x v="1"/>
    <x v="16"/>
    <d v="2022-07-27T00:00:00"/>
    <x v="2"/>
    <s v="2022"/>
    <x v="3"/>
    <s v="$3,395 "/>
    <n v="99"/>
  </r>
  <r>
    <x v="15"/>
    <x v="0"/>
    <x v="20"/>
    <d v="2022-04-15T00:00:00"/>
    <x v="3"/>
    <s v="2022"/>
    <x v="4"/>
    <s v="$14,938 "/>
    <n v="433"/>
  </r>
  <r>
    <x v="13"/>
    <x v="1"/>
    <x v="7"/>
    <d v="2022-06-27T00:00:00"/>
    <x v="5"/>
    <s v="2022"/>
    <x v="1"/>
    <s v="$4,053 "/>
    <n v="19"/>
  </r>
  <r>
    <x v="0"/>
    <x v="0"/>
    <x v="21"/>
    <d v="2022-04-14T00:00:00"/>
    <x v="3"/>
    <s v="2022"/>
    <x v="2"/>
    <s v="$5,565 "/>
    <n v="258"/>
  </r>
  <r>
    <x v="15"/>
    <x v="2"/>
    <x v="15"/>
    <d v="2022-03-15T00:00:00"/>
    <x v="6"/>
    <s v="2022"/>
    <x v="0"/>
    <s v="$7,161 "/>
    <n v="92"/>
  </r>
  <r>
    <x v="22"/>
    <x v="4"/>
    <x v="8"/>
    <d v="2022-03-18T00:00:00"/>
    <x v="6"/>
    <s v="2022"/>
    <x v="4"/>
    <s v="$8,883 "/>
    <n v="200"/>
  </r>
  <r>
    <x v="6"/>
    <x v="1"/>
    <x v="8"/>
    <d v="2022-04-29T00:00:00"/>
    <x v="3"/>
    <s v="2022"/>
    <x v="4"/>
    <s v="$1,351 "/>
    <n v="61"/>
  </r>
  <r>
    <x v="9"/>
    <x v="3"/>
    <x v="14"/>
    <d v="2022-02-25T00:00:00"/>
    <x v="4"/>
    <s v="2022"/>
    <x v="4"/>
    <s v="$3,171 "/>
    <n v="246"/>
  </r>
  <r>
    <x v="15"/>
    <x v="4"/>
    <x v="11"/>
    <d v="2022-03-02T00:00:00"/>
    <x v="6"/>
    <s v="2022"/>
    <x v="3"/>
    <s v="$854 "/>
    <n v="56"/>
  </r>
  <r>
    <x v="1"/>
    <x v="2"/>
    <x v="11"/>
    <d v="2022-06-20T00:00:00"/>
    <x v="5"/>
    <s v="2022"/>
    <x v="1"/>
    <s v="$7,910 "/>
    <n v="87"/>
  </r>
  <r>
    <x v="12"/>
    <x v="5"/>
    <x v="14"/>
    <d v="2022-07-15T00:00:00"/>
    <x v="2"/>
    <s v="2022"/>
    <x v="4"/>
    <s v="$9,275 "/>
    <n v="173"/>
  </r>
  <r>
    <x v="23"/>
    <x v="2"/>
    <x v="6"/>
    <d v="2022-05-12T00:00:00"/>
    <x v="7"/>
    <s v="2022"/>
    <x v="2"/>
    <s v="$3,108 "/>
    <n v="252"/>
  </r>
  <r>
    <x v="9"/>
    <x v="3"/>
    <x v="10"/>
    <d v="2022-07-01T00:00:00"/>
    <x v="2"/>
    <s v="2022"/>
    <x v="4"/>
    <s v="$5,075 "/>
    <n v="256"/>
  </r>
  <r>
    <x v="15"/>
    <x v="4"/>
    <x v="1"/>
    <d v="2022-08-08T00:00:00"/>
    <x v="1"/>
    <s v="2022"/>
    <x v="1"/>
    <s v="$378 "/>
    <n v="54"/>
  </r>
  <r>
    <x v="22"/>
    <x v="2"/>
    <x v="6"/>
    <d v="2022-07-25T00:00:00"/>
    <x v="2"/>
    <s v="2022"/>
    <x v="1"/>
    <s v="$7,350 "/>
    <n v="6"/>
  </r>
  <r>
    <x v="18"/>
    <x v="0"/>
    <x v="9"/>
    <d v="2022-05-18T00:00:00"/>
    <x v="7"/>
    <s v="2022"/>
    <x v="3"/>
    <s v="$3,388 "/>
    <n v="55"/>
  </r>
  <r>
    <x v="21"/>
    <x v="1"/>
    <x v="2"/>
    <d v="2022-07-15T00:00:00"/>
    <x v="2"/>
    <s v="2022"/>
    <x v="4"/>
    <s v="$11,837 "/>
    <n v="277"/>
  </r>
  <r>
    <x v="14"/>
    <x v="1"/>
    <x v="21"/>
    <d v="2022-07-05T00:00:00"/>
    <x v="2"/>
    <s v="2022"/>
    <x v="0"/>
    <s v="$2,282 "/>
    <n v="44"/>
  </r>
  <r>
    <x v="9"/>
    <x v="4"/>
    <x v="15"/>
    <d v="2022-07-04T00:00:00"/>
    <x v="2"/>
    <s v="2022"/>
    <x v="1"/>
    <s v="$5,425 "/>
    <n v="96"/>
  </r>
  <r>
    <x v="23"/>
    <x v="0"/>
    <x v="21"/>
    <d v="2022-06-20T00:00:00"/>
    <x v="5"/>
    <s v="2022"/>
    <x v="1"/>
    <s v="$1,267 "/>
    <n v="216"/>
  </r>
  <r>
    <x v="5"/>
    <x v="2"/>
    <x v="16"/>
    <d v="2022-01-25T00:00:00"/>
    <x v="0"/>
    <s v="2022"/>
    <x v="0"/>
    <s v="$3,752 "/>
    <n v="424"/>
  </r>
  <r>
    <x v="16"/>
    <x v="3"/>
    <x v="12"/>
    <d v="2022-07-01T00:00:00"/>
    <x v="2"/>
    <s v="2022"/>
    <x v="4"/>
    <s v="$7,728 "/>
    <n v="37"/>
  </r>
  <r>
    <x v="2"/>
    <x v="4"/>
    <x v="6"/>
    <d v="2022-04-13T00:00:00"/>
    <x v="3"/>
    <s v="2022"/>
    <x v="3"/>
    <s v="$2,296 "/>
    <n v="59"/>
  </r>
  <r>
    <x v="12"/>
    <x v="0"/>
    <x v="3"/>
    <d v="2022-05-04T00:00:00"/>
    <x v="7"/>
    <s v="2022"/>
    <x v="3"/>
    <s v="$4,403 "/>
    <n v="76"/>
  </r>
  <r>
    <x v="12"/>
    <x v="2"/>
    <x v="19"/>
    <d v="2022-08-04T00:00:00"/>
    <x v="1"/>
    <s v="2022"/>
    <x v="2"/>
    <s v="$3,192 "/>
    <n v="109"/>
  </r>
  <r>
    <x v="12"/>
    <x v="1"/>
    <x v="21"/>
    <d v="2022-06-01T00:00:00"/>
    <x v="5"/>
    <s v="2022"/>
    <x v="3"/>
    <s v="$448 "/>
    <n v="146"/>
  </r>
  <r>
    <x v="0"/>
    <x v="0"/>
    <x v="18"/>
    <d v="2022-04-22T00:00:00"/>
    <x v="3"/>
    <s v="2022"/>
    <x v="4"/>
    <s v="$4,270 "/>
    <n v="185"/>
  </r>
  <r>
    <x v="16"/>
    <x v="4"/>
    <x v="6"/>
    <d v="2022-08-03T00:00:00"/>
    <x v="1"/>
    <s v="2022"/>
    <x v="3"/>
    <s v="$70 "/>
    <n v="27"/>
  </r>
  <r>
    <x v="24"/>
    <x v="4"/>
    <x v="7"/>
    <d v="2022-06-10T00:00:00"/>
    <x v="5"/>
    <s v="2022"/>
    <x v="4"/>
    <s v="$1,743 "/>
    <n v="69"/>
  </r>
  <r>
    <x v="5"/>
    <x v="0"/>
    <x v="15"/>
    <d v="2022-06-27T00:00:00"/>
    <x v="5"/>
    <s v="2022"/>
    <x v="1"/>
    <s v="$6,762 "/>
    <n v="46"/>
  </r>
  <r>
    <x v="11"/>
    <x v="2"/>
    <x v="3"/>
    <d v="2022-01-03T00:00:00"/>
    <x v="0"/>
    <s v="2022"/>
    <x v="1"/>
    <s v="$3,745 "/>
    <n v="170"/>
  </r>
  <r>
    <x v="11"/>
    <x v="1"/>
    <x v="5"/>
    <d v="2022-07-11T00:00:00"/>
    <x v="2"/>
    <s v="2022"/>
    <x v="1"/>
    <s v="$2,639 "/>
    <n v="179"/>
  </r>
  <r>
    <x v="24"/>
    <x v="3"/>
    <x v="11"/>
    <d v="2022-08-17T00:00:00"/>
    <x v="1"/>
    <s v="2022"/>
    <x v="3"/>
    <s v="$4,389 "/>
    <n v="126"/>
  </r>
  <r>
    <x v="7"/>
    <x v="4"/>
    <x v="13"/>
    <d v="2022-01-18T00:00:00"/>
    <x v="0"/>
    <s v="2022"/>
    <x v="0"/>
    <s v="$2,604 "/>
    <n v="65"/>
  </r>
  <r>
    <x v="24"/>
    <x v="1"/>
    <x v="10"/>
    <d v="2022-03-08T00:00:00"/>
    <x v="6"/>
    <s v="2022"/>
    <x v="0"/>
    <s v="$16,569 "/>
    <n v="99"/>
  </r>
  <r>
    <x v="9"/>
    <x v="2"/>
    <x v="7"/>
    <d v="2022-03-07T00:00:00"/>
    <x v="6"/>
    <s v="2022"/>
    <x v="1"/>
    <s v="$14,658 "/>
    <n v="275"/>
  </r>
  <r>
    <x v="15"/>
    <x v="1"/>
    <x v="21"/>
    <d v="2022-05-09T00:00:00"/>
    <x v="7"/>
    <s v="2022"/>
    <x v="1"/>
    <s v="$6,454 "/>
    <n v="157"/>
  </r>
  <r>
    <x v="8"/>
    <x v="3"/>
    <x v="1"/>
    <d v="2022-05-23T00:00:00"/>
    <x v="7"/>
    <s v="2022"/>
    <x v="1"/>
    <s v="$2,100 "/>
    <n v="157"/>
  </r>
  <r>
    <x v="22"/>
    <x v="0"/>
    <x v="20"/>
    <d v="2022-04-15T00:00:00"/>
    <x v="3"/>
    <s v="2022"/>
    <x v="4"/>
    <s v="$161 "/>
    <n v="145"/>
  </r>
  <r>
    <x v="2"/>
    <x v="2"/>
    <x v="9"/>
    <d v="2022-07-27T00:00:00"/>
    <x v="2"/>
    <s v="2022"/>
    <x v="3"/>
    <s v="$2,807 "/>
    <n v="139"/>
  </r>
  <r>
    <x v="11"/>
    <x v="5"/>
    <x v="18"/>
    <d v="2022-08-22T00:00:00"/>
    <x v="1"/>
    <s v="2022"/>
    <x v="1"/>
    <s v="$2,639 "/>
    <n v="406"/>
  </r>
  <r>
    <x v="24"/>
    <x v="4"/>
    <x v="21"/>
    <d v="2022-05-11T00:00:00"/>
    <x v="7"/>
    <s v="2022"/>
    <x v="3"/>
    <s v="$4,571 "/>
    <n v="122"/>
  </r>
  <r>
    <x v="22"/>
    <x v="1"/>
    <x v="10"/>
    <d v="2022-01-26T00:00:00"/>
    <x v="0"/>
    <s v="2022"/>
    <x v="3"/>
    <s v="$4,781 "/>
    <n v="38"/>
  </r>
  <r>
    <x v="8"/>
    <x v="4"/>
    <x v="6"/>
    <d v="2022-04-14T00:00:00"/>
    <x v="3"/>
    <s v="2022"/>
    <x v="2"/>
    <s v="$13,034 "/>
    <n v="117"/>
  </r>
  <r>
    <x v="17"/>
    <x v="3"/>
    <x v="0"/>
    <d v="2022-04-05T00:00:00"/>
    <x v="3"/>
    <s v="2022"/>
    <x v="0"/>
    <s v="$6,454 "/>
    <n v="417"/>
  </r>
  <r>
    <x v="11"/>
    <x v="3"/>
    <x v="3"/>
    <d v="2022-06-14T00:00:00"/>
    <x v="5"/>
    <s v="2022"/>
    <x v="0"/>
    <s v="$8,484 "/>
    <n v="57"/>
  </r>
  <r>
    <x v="6"/>
    <x v="5"/>
    <x v="16"/>
    <d v="2022-04-13T00:00:00"/>
    <x v="3"/>
    <s v="2022"/>
    <x v="3"/>
    <s v="$4,781 "/>
    <n v="125"/>
  </r>
  <r>
    <x v="12"/>
    <x v="2"/>
    <x v="14"/>
    <d v="2022-06-27T00:00:00"/>
    <x v="5"/>
    <s v="2022"/>
    <x v="1"/>
    <s v="$2,240 "/>
    <n v="166"/>
  </r>
  <r>
    <x v="23"/>
    <x v="2"/>
    <x v="8"/>
    <d v="2022-01-26T00:00:00"/>
    <x v="0"/>
    <s v="2022"/>
    <x v="3"/>
    <s v="$6,979 "/>
    <n v="3"/>
  </r>
  <r>
    <x v="8"/>
    <x v="0"/>
    <x v="14"/>
    <d v="2022-07-05T00:00:00"/>
    <x v="2"/>
    <s v="2022"/>
    <x v="0"/>
    <s v="$1,652 "/>
    <n v="72"/>
  </r>
  <r>
    <x v="12"/>
    <x v="5"/>
    <x v="19"/>
    <d v="2022-01-11T00:00:00"/>
    <x v="0"/>
    <s v="2022"/>
    <x v="0"/>
    <s v="$13,447 "/>
    <n v="95"/>
  </r>
  <r>
    <x v="20"/>
    <x v="4"/>
    <x v="14"/>
    <d v="2022-03-07T00:00:00"/>
    <x v="6"/>
    <s v="2022"/>
    <x v="1"/>
    <s v="$9,422 "/>
    <n v="22"/>
  </r>
  <r>
    <x v="16"/>
    <x v="5"/>
    <x v="6"/>
    <d v="2022-03-04T00:00:00"/>
    <x v="6"/>
    <s v="2022"/>
    <x v="4"/>
    <s v="$8,687 "/>
    <n v="100"/>
  </r>
  <r>
    <x v="10"/>
    <x v="5"/>
    <x v="10"/>
    <d v="2022-07-15T00:00:00"/>
    <x v="2"/>
    <s v="2022"/>
    <x v="4"/>
    <s v="$2,415 "/>
    <n v="312"/>
  </r>
  <r>
    <x v="16"/>
    <x v="0"/>
    <x v="2"/>
    <d v="2022-05-11T00:00:00"/>
    <x v="7"/>
    <s v="2022"/>
    <x v="3"/>
    <s v="$6,272 "/>
    <n v="86"/>
  </r>
  <r>
    <x v="10"/>
    <x v="4"/>
    <x v="11"/>
    <d v="2022-01-27T00:00:00"/>
    <x v="0"/>
    <s v="2022"/>
    <x v="2"/>
    <s v="$4,389 "/>
    <n v="7"/>
  </r>
  <r>
    <x v="10"/>
    <x v="1"/>
    <x v="7"/>
    <d v="2022-06-27T00:00:00"/>
    <x v="5"/>
    <s v="2022"/>
    <x v="1"/>
    <s v="$3,122 "/>
    <n v="149"/>
  </r>
  <r>
    <x v="24"/>
    <x v="1"/>
    <x v="3"/>
    <d v="2022-08-03T00:00:00"/>
    <x v="1"/>
    <s v="2022"/>
    <x v="3"/>
    <s v="$8,043 "/>
    <n v="18"/>
  </r>
  <r>
    <x v="18"/>
    <x v="3"/>
    <x v="0"/>
    <d v="2022-08-19T00:00:00"/>
    <x v="1"/>
    <s v="2022"/>
    <x v="4"/>
    <s v="$11,662 "/>
    <n v="242"/>
  </r>
  <r>
    <x v="18"/>
    <x v="2"/>
    <x v="13"/>
    <d v="2022-06-15T00:00:00"/>
    <x v="5"/>
    <s v="2022"/>
    <x v="3"/>
    <s v="$392 "/>
    <n v="102"/>
  </r>
  <r>
    <x v="17"/>
    <x v="0"/>
    <x v="2"/>
    <d v="2022-02-07T00:00:00"/>
    <x v="4"/>
    <s v="2022"/>
    <x v="1"/>
    <s v="$8,925 "/>
    <n v="158"/>
  </r>
  <r>
    <x v="10"/>
    <x v="2"/>
    <x v="16"/>
    <d v="2022-07-08T00:00:00"/>
    <x v="2"/>
    <s v="2022"/>
    <x v="4"/>
    <s v="$7,294 "/>
    <n v="128"/>
  </r>
  <r>
    <x v="17"/>
    <x v="1"/>
    <x v="11"/>
    <d v="2022-04-21T00:00:00"/>
    <x v="3"/>
    <s v="2022"/>
    <x v="2"/>
    <s v="$1,526 "/>
    <n v="96"/>
  </r>
  <r>
    <x v="24"/>
    <x v="0"/>
    <x v="0"/>
    <d v="2022-04-08T00:00:00"/>
    <x v="3"/>
    <s v="2022"/>
    <x v="4"/>
    <s v="$2,688 "/>
    <n v="209"/>
  </r>
  <r>
    <x v="15"/>
    <x v="2"/>
    <x v="6"/>
    <d v="2022-08-19T00:00:00"/>
    <x v="1"/>
    <s v="2022"/>
    <x v="4"/>
    <s v="$14,889 "/>
    <n v="52"/>
  </r>
  <r>
    <x v="3"/>
    <x v="1"/>
    <x v="13"/>
    <d v="2022-05-04T00:00:00"/>
    <x v="7"/>
    <s v="2022"/>
    <x v="3"/>
    <s v="$2,912 "/>
    <n v="55"/>
  </r>
  <r>
    <x v="9"/>
    <x v="4"/>
    <x v="1"/>
    <d v="2022-05-11T00:00:00"/>
    <x v="7"/>
    <s v="2022"/>
    <x v="3"/>
    <s v="$2,632 "/>
    <n v="108"/>
  </r>
  <r>
    <x v="9"/>
    <x v="4"/>
    <x v="8"/>
    <d v="2022-03-22T00:00:00"/>
    <x v="6"/>
    <s v="2022"/>
    <x v="0"/>
    <s v="$6,328 "/>
    <n v="51"/>
  </r>
  <r>
    <x v="17"/>
    <x v="5"/>
    <x v="12"/>
    <d v="2022-08-10T00:00:00"/>
    <x v="1"/>
    <s v="2022"/>
    <x v="3"/>
    <s v="$2,527 "/>
    <n v="216"/>
  </r>
  <r>
    <x v="17"/>
    <x v="4"/>
    <x v="13"/>
    <d v="2022-05-04T00:00:00"/>
    <x v="7"/>
    <s v="2022"/>
    <x v="3"/>
    <s v="$1,414 "/>
    <n v="318"/>
  </r>
  <r>
    <x v="20"/>
    <x v="4"/>
    <x v="4"/>
    <d v="2022-08-18T00:00:00"/>
    <x v="1"/>
    <s v="2022"/>
    <x v="2"/>
    <s v="$7,714 "/>
    <n v="238"/>
  </r>
  <r>
    <x v="23"/>
    <x v="5"/>
    <x v="17"/>
    <d v="2022-08-03T00:00:00"/>
    <x v="1"/>
    <s v="2022"/>
    <x v="3"/>
    <s v="$4,347 "/>
    <n v="238"/>
  </r>
  <r>
    <x v="11"/>
    <x v="3"/>
    <x v="11"/>
    <d v="2022-01-14T00:00:00"/>
    <x v="0"/>
    <s v="2022"/>
    <x v="4"/>
    <s v="$7,490 "/>
    <n v="315"/>
  </r>
  <r>
    <x v="22"/>
    <x v="2"/>
    <x v="18"/>
    <d v="2022-04-08T00:00:00"/>
    <x v="3"/>
    <s v="2022"/>
    <x v="4"/>
    <s v="$2,058 "/>
    <n v="72"/>
  </r>
  <r>
    <x v="20"/>
    <x v="0"/>
    <x v="7"/>
    <d v="2022-08-01T00:00:00"/>
    <x v="1"/>
    <s v="2022"/>
    <x v="1"/>
    <s v="$3,640 "/>
    <n v="3"/>
  </r>
  <r>
    <x v="17"/>
    <x v="5"/>
    <x v="8"/>
    <d v="2022-03-15T00:00:00"/>
    <x v="6"/>
    <s v="2022"/>
    <x v="0"/>
    <s v="$455 "/>
    <n v="45"/>
  </r>
  <r>
    <x v="10"/>
    <x v="1"/>
    <x v="0"/>
    <d v="2022-07-15T00:00:00"/>
    <x v="2"/>
    <s v="2022"/>
    <x v="4"/>
    <s v="$10,990 "/>
    <n v="184"/>
  </r>
  <r>
    <x v="8"/>
    <x v="3"/>
    <x v="16"/>
    <d v="2022-01-13T00:00:00"/>
    <x v="0"/>
    <s v="2022"/>
    <x v="2"/>
    <s v="$5,558 "/>
    <n v="127"/>
  </r>
  <r>
    <x v="9"/>
    <x v="2"/>
    <x v="1"/>
    <d v="2022-08-26T00:00:00"/>
    <x v="1"/>
    <s v="2022"/>
    <x v="4"/>
    <s v="$2,541 "/>
    <n v="53"/>
  </r>
  <r>
    <x v="24"/>
    <x v="5"/>
    <x v="8"/>
    <d v="2022-01-10T00:00:00"/>
    <x v="0"/>
    <s v="2022"/>
    <x v="1"/>
    <s v="$1,876 "/>
    <n v="172"/>
  </r>
  <r>
    <x v="2"/>
    <x v="2"/>
    <x v="14"/>
    <d v="2022-05-11T00:00:00"/>
    <x v="7"/>
    <s v="2022"/>
    <x v="3"/>
    <s v="$5,523 "/>
    <n v="87"/>
  </r>
  <r>
    <x v="12"/>
    <x v="3"/>
    <x v="1"/>
    <d v="2022-08-30T00:00:00"/>
    <x v="1"/>
    <s v="2022"/>
    <x v="0"/>
    <s v="$11,200 "/>
    <n v="22"/>
  </r>
  <r>
    <x v="16"/>
    <x v="4"/>
    <x v="20"/>
    <d v="2022-07-21T00:00:00"/>
    <x v="2"/>
    <s v="2022"/>
    <x v="2"/>
    <s v="$5,593 "/>
    <n v="122"/>
  </r>
  <r>
    <x v="9"/>
    <x v="2"/>
    <x v="16"/>
    <d v="2022-08-01T00:00:00"/>
    <x v="1"/>
    <s v="2022"/>
    <x v="1"/>
    <s v="$7,882 "/>
    <n v="125"/>
  </r>
  <r>
    <x v="6"/>
    <x v="5"/>
    <x v="1"/>
    <d v="2022-02-17T00:00:00"/>
    <x v="4"/>
    <s v="2022"/>
    <x v="2"/>
    <s v="$10,241 "/>
    <n v="259"/>
  </r>
  <r>
    <x v="6"/>
    <x v="2"/>
    <x v="9"/>
    <d v="2022-07-27T00:00:00"/>
    <x v="2"/>
    <s v="2022"/>
    <x v="3"/>
    <s v="$6,832 "/>
    <n v="156"/>
  </r>
  <r>
    <x v="23"/>
    <x v="4"/>
    <x v="7"/>
    <d v="2022-02-23T00:00:00"/>
    <x v="4"/>
    <s v="2022"/>
    <x v="3"/>
    <s v="$1,379 "/>
    <n v="107"/>
  </r>
  <r>
    <x v="7"/>
    <x v="2"/>
    <x v="6"/>
    <d v="2022-03-22T00:00:00"/>
    <x v="6"/>
    <s v="2022"/>
    <x v="0"/>
    <s v="$3,010 "/>
    <n v="40"/>
  </r>
  <r>
    <x v="17"/>
    <x v="1"/>
    <x v="4"/>
    <d v="2022-06-23T00:00:00"/>
    <x v="5"/>
    <s v="2022"/>
    <x v="2"/>
    <s v="$6,888 "/>
    <n v="311"/>
  </r>
  <r>
    <x v="14"/>
    <x v="0"/>
    <x v="14"/>
    <d v="2022-02-01T00:00:00"/>
    <x v="4"/>
    <s v="2022"/>
    <x v="0"/>
    <s v="$1,540 "/>
    <n v="73"/>
  </r>
  <r>
    <x v="20"/>
    <x v="2"/>
    <x v="5"/>
    <d v="2022-03-02T00:00:00"/>
    <x v="6"/>
    <s v="2022"/>
    <x v="3"/>
    <s v="$6,916 "/>
    <n v="288"/>
  </r>
  <r>
    <x v="2"/>
    <x v="0"/>
    <x v="13"/>
    <d v="2022-04-06T00:00:00"/>
    <x v="3"/>
    <s v="2022"/>
    <x v="3"/>
    <s v="$1,232 "/>
    <n v="86"/>
  </r>
  <r>
    <x v="5"/>
    <x v="2"/>
    <x v="17"/>
    <d v="2022-03-17T00:00:00"/>
    <x v="6"/>
    <s v="2022"/>
    <x v="2"/>
    <s v="$602 "/>
    <n v="72"/>
  </r>
  <r>
    <x v="14"/>
    <x v="0"/>
    <x v="13"/>
    <d v="2022-06-24T00:00:00"/>
    <x v="5"/>
    <s v="2022"/>
    <x v="4"/>
    <s v="$10,927 "/>
    <n v="136"/>
  </r>
  <r>
    <x v="8"/>
    <x v="5"/>
    <x v="6"/>
    <d v="2022-07-19T00:00:00"/>
    <x v="2"/>
    <s v="2022"/>
    <x v="0"/>
    <s v="$10,185 "/>
    <n v="303"/>
  </r>
  <r>
    <x v="14"/>
    <x v="4"/>
    <x v="12"/>
    <d v="2022-07-11T00:00:00"/>
    <x v="2"/>
    <s v="2022"/>
    <x v="1"/>
    <s v="$1,603 "/>
    <n v="264"/>
  </r>
  <r>
    <x v="6"/>
    <x v="1"/>
    <x v="16"/>
    <d v="2022-01-13T00:00:00"/>
    <x v="0"/>
    <s v="2022"/>
    <x v="2"/>
    <s v="$2,170 "/>
    <n v="218"/>
  </r>
  <r>
    <x v="4"/>
    <x v="3"/>
    <x v="3"/>
    <d v="2022-07-07T00:00:00"/>
    <x v="2"/>
    <s v="2022"/>
    <x v="2"/>
    <s v="$8,673 "/>
    <n v="60"/>
  </r>
  <r>
    <x v="3"/>
    <x v="1"/>
    <x v="1"/>
    <d v="2022-05-25T00:00:00"/>
    <x v="7"/>
    <s v="2022"/>
    <x v="3"/>
    <s v="$4,760 "/>
    <n v="418"/>
  </r>
  <r>
    <x v="11"/>
    <x v="1"/>
    <x v="13"/>
    <d v="2022-04-13T00:00:00"/>
    <x v="3"/>
    <s v="2022"/>
    <x v="3"/>
    <s v="$4,753 "/>
    <n v="151"/>
  </r>
  <r>
    <x v="19"/>
    <x v="3"/>
    <x v="6"/>
    <d v="2022-03-02T00:00:00"/>
    <x v="6"/>
    <s v="2022"/>
    <x v="3"/>
    <s v="$3,374 "/>
    <n v="202"/>
  </r>
  <r>
    <x v="5"/>
    <x v="5"/>
    <x v="17"/>
    <d v="2022-06-23T00:00:00"/>
    <x v="5"/>
    <s v="2022"/>
    <x v="2"/>
    <s v="$2,058 "/>
    <n v="126"/>
  </r>
  <r>
    <x v="20"/>
    <x v="4"/>
    <x v="9"/>
    <d v="2022-07-26T00:00:00"/>
    <x v="2"/>
    <s v="2022"/>
    <x v="0"/>
    <s v="$6,454 "/>
    <n v="160"/>
  </r>
  <r>
    <x v="1"/>
    <x v="5"/>
    <x v="14"/>
    <d v="2022-03-22T00:00:00"/>
    <x v="6"/>
    <s v="2022"/>
    <x v="0"/>
    <s v="$420 "/>
    <n v="3"/>
  </r>
  <r>
    <x v="7"/>
    <x v="4"/>
    <x v="19"/>
    <d v="2022-06-09T00:00:00"/>
    <x v="5"/>
    <s v="2022"/>
    <x v="2"/>
    <s v="$2,863 "/>
    <n v="58"/>
  </r>
  <r>
    <x v="1"/>
    <x v="2"/>
    <x v="20"/>
    <d v="2022-05-17T00:00:00"/>
    <x v="7"/>
    <s v="2022"/>
    <x v="0"/>
    <s v="$5,936 "/>
    <n v="59"/>
  </r>
  <r>
    <x v="24"/>
    <x v="3"/>
    <x v="2"/>
    <d v="2022-03-04T00:00:00"/>
    <x v="6"/>
    <s v="2022"/>
    <x v="4"/>
    <s v="$889 "/>
    <n v="273"/>
  </r>
  <r>
    <x v="20"/>
    <x v="5"/>
    <x v="11"/>
    <d v="2022-07-07T00:00:00"/>
    <x v="2"/>
    <s v="2022"/>
    <x v="2"/>
    <s v="$16,016 "/>
    <n v="28"/>
  </r>
  <r>
    <x v="17"/>
    <x v="5"/>
    <x v="18"/>
    <d v="2022-01-13T00:00:00"/>
    <x v="0"/>
    <s v="2022"/>
    <x v="2"/>
    <s v="$10,479 "/>
    <n v="118"/>
  </r>
  <r>
    <x v="14"/>
    <x v="2"/>
    <x v="16"/>
    <d v="2022-07-13T00:00:00"/>
    <x v="2"/>
    <s v="2022"/>
    <x v="3"/>
    <s v="$2,912 "/>
    <n v="75"/>
  </r>
  <r>
    <x v="22"/>
    <x v="2"/>
    <x v="1"/>
    <d v="2022-06-16T00:00:00"/>
    <x v="5"/>
    <s v="2022"/>
    <x v="2"/>
    <s v="$1,575 "/>
    <n v="329"/>
  </r>
  <r>
    <x v="2"/>
    <x v="0"/>
    <x v="6"/>
    <d v="2022-07-18T00:00:00"/>
    <x v="2"/>
    <s v="2022"/>
    <x v="1"/>
    <s v="$8,197 "/>
    <n v="69"/>
  </r>
  <r>
    <x v="24"/>
    <x v="0"/>
    <x v="15"/>
    <d v="2022-05-30T00:00:00"/>
    <x v="7"/>
    <s v="2022"/>
    <x v="1"/>
    <s v="$4,221 "/>
    <n v="395"/>
  </r>
  <r>
    <x v="2"/>
    <x v="0"/>
    <x v="21"/>
    <d v="2022-06-21T00:00:00"/>
    <x v="5"/>
    <s v="2022"/>
    <x v="0"/>
    <s v="$840 "/>
    <n v="81"/>
  </r>
  <r>
    <x v="0"/>
    <x v="2"/>
    <x v="2"/>
    <d v="2022-06-24T00:00:00"/>
    <x v="5"/>
    <s v="2022"/>
    <x v="4"/>
    <s v="$5,691 "/>
    <n v="38"/>
  </r>
  <r>
    <x v="11"/>
    <x v="1"/>
    <x v="8"/>
    <d v="2022-01-13T00:00:00"/>
    <x v="0"/>
    <s v="2022"/>
    <x v="2"/>
    <s v="$3,472 "/>
    <n v="96"/>
  </r>
  <r>
    <x v="14"/>
    <x v="5"/>
    <x v="13"/>
    <d v="2022-04-04T00:00:00"/>
    <x v="3"/>
    <s v="2022"/>
    <x v="1"/>
    <s v="$4,193 "/>
    <n v="195"/>
  </r>
  <r>
    <x v="16"/>
    <x v="0"/>
    <x v="3"/>
    <d v="2022-06-08T00:00:00"/>
    <x v="5"/>
    <s v="2022"/>
    <x v="3"/>
    <s v="$9,016 "/>
    <n v="554"/>
  </r>
  <r>
    <x v="10"/>
    <x v="5"/>
    <x v="12"/>
    <d v="2022-08-02T00:00:00"/>
    <x v="1"/>
    <s v="2022"/>
    <x v="0"/>
    <s v="$6,328 "/>
    <n v="47"/>
  </r>
  <r>
    <x v="20"/>
    <x v="4"/>
    <x v="10"/>
    <d v="2022-07-21T00:00:00"/>
    <x v="2"/>
    <s v="2022"/>
    <x v="2"/>
    <s v="$9,870 "/>
    <n v="152"/>
  </r>
  <r>
    <x v="14"/>
    <x v="1"/>
    <x v="12"/>
    <d v="2022-06-20T00:00:00"/>
    <x v="5"/>
    <s v="2022"/>
    <x v="1"/>
    <s v="$161 "/>
    <n v="134"/>
  </r>
  <r>
    <x v="13"/>
    <x v="1"/>
    <x v="5"/>
    <d v="2022-06-22T00:00:00"/>
    <x v="5"/>
    <s v="2022"/>
    <x v="3"/>
    <s v="$2,576 "/>
    <n v="112"/>
  </r>
  <r>
    <x v="21"/>
    <x v="2"/>
    <x v="20"/>
    <d v="2022-05-02T00:00:00"/>
    <x v="7"/>
    <s v="2022"/>
    <x v="1"/>
    <s v="$3,178 "/>
    <n v="16"/>
  </r>
  <r>
    <x v="14"/>
    <x v="2"/>
    <x v="4"/>
    <d v="2022-01-07T00:00:00"/>
    <x v="0"/>
    <s v="2022"/>
    <x v="4"/>
    <s v="$4,676 "/>
    <n v="84"/>
  </r>
  <r>
    <x v="9"/>
    <x v="0"/>
    <x v="6"/>
    <d v="2022-02-21T00:00:00"/>
    <x v="4"/>
    <s v="2022"/>
    <x v="1"/>
    <s v="$5,502 "/>
    <n v="99"/>
  </r>
  <r>
    <x v="24"/>
    <x v="5"/>
    <x v="19"/>
    <d v="2022-03-21T00:00:00"/>
    <x v="6"/>
    <s v="2022"/>
    <x v="1"/>
    <s v="$7,462 "/>
    <n v="371"/>
  </r>
  <r>
    <x v="1"/>
    <x v="0"/>
    <x v="9"/>
    <d v="2022-04-04T00:00:00"/>
    <x v="3"/>
    <s v="2022"/>
    <x v="1"/>
    <s v="$5,803 "/>
    <n v="136"/>
  </r>
  <r>
    <x v="5"/>
    <x v="5"/>
    <x v="13"/>
    <d v="2022-03-24T00:00:00"/>
    <x v="6"/>
    <s v="2022"/>
    <x v="2"/>
    <s v="$13,888 "/>
    <n v="203"/>
  </r>
  <r>
    <x v="5"/>
    <x v="3"/>
    <x v="12"/>
    <d v="2022-06-28T00:00:00"/>
    <x v="5"/>
    <s v="2022"/>
    <x v="0"/>
    <s v="$6,867 "/>
    <n v="183"/>
  </r>
  <r>
    <x v="5"/>
    <x v="2"/>
    <x v="9"/>
    <d v="2022-01-14T00:00:00"/>
    <x v="0"/>
    <s v="2022"/>
    <x v="4"/>
    <s v="$2,317 "/>
    <n v="195"/>
  </r>
  <r>
    <x v="10"/>
    <x v="3"/>
    <x v="13"/>
    <d v="2022-02-07T00:00:00"/>
    <x v="4"/>
    <s v="2022"/>
    <x v="1"/>
    <s v="$1,218 "/>
    <n v="135"/>
  </r>
  <r>
    <x v="17"/>
    <x v="3"/>
    <x v="9"/>
    <d v="2022-01-11T00:00:00"/>
    <x v="0"/>
    <s v="2022"/>
    <x v="0"/>
    <s v="$4,109 "/>
    <n v="197"/>
  </r>
  <r>
    <x v="0"/>
    <x v="1"/>
    <x v="4"/>
    <d v="2022-02-25T00:00:00"/>
    <x v="4"/>
    <s v="2022"/>
    <x v="4"/>
    <s v="$1,953 "/>
    <n v="242"/>
  </r>
  <r>
    <x v="23"/>
    <x v="2"/>
    <x v="0"/>
    <d v="2022-08-01T00:00:00"/>
    <x v="1"/>
    <s v="2022"/>
    <x v="1"/>
    <s v="$6,790 "/>
    <n v="25"/>
  </r>
  <r>
    <x v="13"/>
    <x v="2"/>
    <x v="0"/>
    <d v="2022-05-05T00:00:00"/>
    <x v="7"/>
    <s v="2022"/>
    <x v="2"/>
    <s v="$6,797 "/>
    <n v="252"/>
  </r>
  <r>
    <x v="22"/>
    <x v="3"/>
    <x v="17"/>
    <d v="2022-05-18T00:00:00"/>
    <x v="7"/>
    <s v="2022"/>
    <x v="3"/>
    <s v="$9,226 "/>
    <n v="415"/>
  </r>
  <r>
    <x v="23"/>
    <x v="3"/>
    <x v="18"/>
    <d v="2022-01-04T00:00:00"/>
    <x v="0"/>
    <s v="2022"/>
    <x v="0"/>
    <s v="$5,733 "/>
    <n v="348"/>
  </r>
  <r>
    <x v="13"/>
    <x v="3"/>
    <x v="6"/>
    <d v="2022-05-09T00:00:00"/>
    <x v="7"/>
    <s v="2022"/>
    <x v="1"/>
    <s v="$4,312 "/>
    <n v="211"/>
  </r>
  <r>
    <x v="7"/>
    <x v="1"/>
    <x v="3"/>
    <d v="2022-05-06T00:00:00"/>
    <x v="7"/>
    <s v="2022"/>
    <x v="4"/>
    <s v="$1,638 "/>
    <n v="81"/>
  </r>
  <r>
    <x v="15"/>
    <x v="0"/>
    <x v="14"/>
    <d v="2022-01-13T00:00:00"/>
    <x v="0"/>
    <s v="2022"/>
    <x v="2"/>
    <s v="$10,815 "/>
    <n v="145"/>
  </r>
  <r>
    <x v="13"/>
    <x v="2"/>
    <x v="16"/>
    <d v="2022-06-24T00:00:00"/>
    <x v="5"/>
    <s v="2022"/>
    <x v="4"/>
    <s v="$4,466 "/>
    <n v="74"/>
  </r>
  <r>
    <x v="1"/>
    <x v="4"/>
    <x v="20"/>
    <d v="2022-02-14T00:00:00"/>
    <x v="4"/>
    <s v="2022"/>
    <x v="1"/>
    <s v="$987 "/>
    <n v="21"/>
  </r>
  <r>
    <x v="21"/>
    <x v="2"/>
    <x v="4"/>
    <d v="2022-01-18T00:00:00"/>
    <x v="0"/>
    <s v="2022"/>
    <x v="0"/>
    <s v="$4,669 "/>
    <n v="101"/>
  </r>
  <r>
    <x v="16"/>
    <x v="1"/>
    <x v="11"/>
    <d v="2022-05-02T00:00:00"/>
    <x v="7"/>
    <s v="2022"/>
    <x v="1"/>
    <s v="$2,905 "/>
    <n v="91"/>
  </r>
  <r>
    <x v="24"/>
    <x v="2"/>
    <x v="3"/>
    <d v="2022-05-16T00:00:00"/>
    <x v="7"/>
    <s v="2022"/>
    <x v="1"/>
    <s v="$7,490 "/>
    <n v="54"/>
  </r>
  <r>
    <x v="9"/>
    <x v="4"/>
    <x v="16"/>
    <d v="2022-01-28T00:00:00"/>
    <x v="0"/>
    <s v="2022"/>
    <x v="4"/>
    <s v="$6,986 "/>
    <n v="368"/>
  </r>
  <r>
    <x v="16"/>
    <x v="5"/>
    <x v="4"/>
    <d v="2022-06-24T00:00:00"/>
    <x v="5"/>
    <s v="2022"/>
    <x v="4"/>
    <s v="$1,288 "/>
    <n v="409"/>
  </r>
  <r>
    <x v="4"/>
    <x v="0"/>
    <x v="5"/>
    <d v="2022-07-18T00:00:00"/>
    <x v="2"/>
    <s v="2022"/>
    <x v="1"/>
    <s v="$2,345 "/>
    <n v="104"/>
  </r>
  <r>
    <x v="5"/>
    <x v="0"/>
    <x v="8"/>
    <d v="2022-04-13T00:00:00"/>
    <x v="3"/>
    <s v="2022"/>
    <x v="3"/>
    <s v="$3,619 "/>
    <n v="164"/>
  </r>
  <r>
    <x v="23"/>
    <x v="4"/>
    <x v="20"/>
    <d v="2022-04-15T00:00:00"/>
    <x v="3"/>
    <s v="2022"/>
    <x v="4"/>
    <s v="$16,982 "/>
    <n v="76"/>
  </r>
  <r>
    <x v="3"/>
    <x v="1"/>
    <x v="2"/>
    <d v="2022-01-04T00:00:00"/>
    <x v="0"/>
    <s v="2022"/>
    <x v="0"/>
    <s v="$8,092 "/>
    <n v="178"/>
  </r>
  <r>
    <x v="15"/>
    <x v="2"/>
    <x v="8"/>
    <d v="2022-07-04T00:00:00"/>
    <x v="2"/>
    <s v="2022"/>
    <x v="1"/>
    <s v="$6,993 "/>
    <n v="31"/>
  </r>
  <r>
    <x v="12"/>
    <x v="4"/>
    <x v="3"/>
    <d v="2022-03-24T00:00:00"/>
    <x v="6"/>
    <s v="2022"/>
    <x v="2"/>
    <s v="$2,317 "/>
    <n v="352"/>
  </r>
  <r>
    <x v="21"/>
    <x v="2"/>
    <x v="15"/>
    <d v="2022-03-17T00:00:00"/>
    <x v="6"/>
    <s v="2022"/>
    <x v="2"/>
    <s v="$637 "/>
    <n v="169"/>
  </r>
  <r>
    <x v="4"/>
    <x v="2"/>
    <x v="16"/>
    <d v="2022-02-15T00:00:00"/>
    <x v="4"/>
    <s v="2022"/>
    <x v="0"/>
    <s v="$6,034 "/>
    <n v="223"/>
  </r>
  <r>
    <x v="3"/>
    <x v="4"/>
    <x v="7"/>
    <d v="2022-06-29T00:00:00"/>
    <x v="5"/>
    <s v="2022"/>
    <x v="3"/>
    <s v="$980 "/>
    <n v="146"/>
  </r>
  <r>
    <x v="2"/>
    <x v="4"/>
    <x v="13"/>
    <d v="2022-05-24T00:00:00"/>
    <x v="7"/>
    <s v="2022"/>
    <x v="0"/>
    <s v="$2,821 "/>
    <n v="112"/>
  </r>
  <r>
    <x v="9"/>
    <x v="0"/>
    <x v="11"/>
    <d v="2022-01-10T00:00:00"/>
    <x v="0"/>
    <s v="2022"/>
    <x v="1"/>
    <s v="$3,563 "/>
    <n v="284"/>
  </r>
  <r>
    <x v="14"/>
    <x v="4"/>
    <x v="17"/>
    <d v="2022-03-15T00:00:00"/>
    <x v="6"/>
    <s v="2022"/>
    <x v="0"/>
    <s v="$2,996 "/>
    <n v="139"/>
  </r>
  <r>
    <x v="11"/>
    <x v="5"/>
    <x v="11"/>
    <d v="2022-02-08T00:00:00"/>
    <x v="4"/>
    <s v="2022"/>
    <x v="0"/>
    <s v="$2,436 "/>
    <n v="309"/>
  </r>
  <r>
    <x v="6"/>
    <x v="1"/>
    <x v="20"/>
    <d v="2022-02-25T00:00:00"/>
    <x v="4"/>
    <s v="2022"/>
    <x v="4"/>
    <s v="$1,540 "/>
    <n v="100"/>
  </r>
  <r>
    <x v="5"/>
    <x v="4"/>
    <x v="8"/>
    <d v="2022-05-03T00:00:00"/>
    <x v="7"/>
    <s v="2022"/>
    <x v="0"/>
    <s v="$6,916 "/>
    <n v="42"/>
  </r>
  <r>
    <x v="13"/>
    <x v="4"/>
    <x v="13"/>
    <d v="2022-06-14T00:00:00"/>
    <x v="5"/>
    <s v="2022"/>
    <x v="0"/>
    <s v="$5,509 "/>
    <n v="24"/>
  </r>
  <r>
    <x v="5"/>
    <x v="1"/>
    <x v="6"/>
    <d v="2022-08-09T00:00:00"/>
    <x v="1"/>
    <s v="2022"/>
    <x v="0"/>
    <s v="$12,992 "/>
    <n v="83"/>
  </r>
  <r>
    <x v="18"/>
    <x v="3"/>
    <x v="15"/>
    <d v="2022-07-11T00:00:00"/>
    <x v="2"/>
    <s v="2022"/>
    <x v="1"/>
    <s v="$3,724 "/>
    <n v="234"/>
  </r>
  <r>
    <x v="16"/>
    <x v="0"/>
    <x v="15"/>
    <d v="2022-01-14T00:00:00"/>
    <x v="0"/>
    <s v="2022"/>
    <x v="4"/>
    <s v="$7,133 "/>
    <n v="118"/>
  </r>
  <r>
    <x v="1"/>
    <x v="5"/>
    <x v="15"/>
    <d v="2022-02-24T00:00:00"/>
    <x v="4"/>
    <s v="2022"/>
    <x v="2"/>
    <s v="$8,617 "/>
    <n v="46"/>
  </r>
  <r>
    <x v="18"/>
    <x v="3"/>
    <x v="16"/>
    <d v="2022-03-15T00:00:00"/>
    <x v="6"/>
    <s v="2022"/>
    <x v="0"/>
    <s v="$9,198 "/>
    <n v="144"/>
  </r>
  <r>
    <x v="4"/>
    <x v="3"/>
    <x v="19"/>
    <d v="2022-04-25T00:00:00"/>
    <x v="3"/>
    <s v="2022"/>
    <x v="1"/>
    <s v="$11,823 "/>
    <n v="47"/>
  </r>
  <r>
    <x v="17"/>
    <x v="2"/>
    <x v="10"/>
    <d v="2022-05-10T00:00:00"/>
    <x v="7"/>
    <s v="2022"/>
    <x v="0"/>
    <s v="$5,775 "/>
    <n v="41"/>
  </r>
  <r>
    <x v="11"/>
    <x v="2"/>
    <x v="12"/>
    <d v="2022-06-23T00:00:00"/>
    <x v="5"/>
    <s v="2022"/>
    <x v="2"/>
    <s v="$13,125 "/>
    <n v="275"/>
  </r>
  <r>
    <x v="12"/>
    <x v="5"/>
    <x v="3"/>
    <d v="2022-02-28T00:00:00"/>
    <x v="4"/>
    <s v="2022"/>
    <x v="1"/>
    <s v="$14,287 "/>
    <n v="370"/>
  </r>
  <r>
    <x v="6"/>
    <x v="4"/>
    <x v="10"/>
    <d v="2022-05-25T00:00:00"/>
    <x v="7"/>
    <s v="2022"/>
    <x v="3"/>
    <s v="$16,233 "/>
    <n v="138"/>
  </r>
  <r>
    <x v="13"/>
    <x v="3"/>
    <x v="19"/>
    <d v="2022-02-22T00:00:00"/>
    <x v="4"/>
    <s v="2022"/>
    <x v="0"/>
    <s v="$5,313 "/>
    <n v="215"/>
  </r>
  <r>
    <x v="1"/>
    <x v="0"/>
    <x v="1"/>
    <d v="2022-07-11T00:00:00"/>
    <x v="2"/>
    <s v="2022"/>
    <x v="1"/>
    <s v="$3,577 "/>
    <n v="134"/>
  </r>
  <r>
    <x v="11"/>
    <x v="5"/>
    <x v="12"/>
    <d v="2022-01-03T00:00:00"/>
    <x v="0"/>
    <s v="2022"/>
    <x v="1"/>
    <s v="$3,528 "/>
    <n v="336"/>
  </r>
  <r>
    <x v="7"/>
    <x v="3"/>
    <x v="21"/>
    <d v="2022-08-24T00:00:00"/>
    <x v="1"/>
    <s v="2022"/>
    <x v="3"/>
    <s v="$679 "/>
    <n v="280"/>
  </r>
  <r>
    <x v="12"/>
    <x v="4"/>
    <x v="6"/>
    <d v="2022-07-28T00:00:00"/>
    <x v="2"/>
    <s v="2022"/>
    <x v="2"/>
    <s v="$2,450 "/>
    <n v="352"/>
  </r>
  <r>
    <x v="6"/>
    <x v="4"/>
    <x v="0"/>
    <d v="2022-05-25T00:00:00"/>
    <x v="7"/>
    <s v="2022"/>
    <x v="3"/>
    <s v="$10,577 "/>
    <n v="150"/>
  </r>
  <r>
    <x v="10"/>
    <x v="3"/>
    <x v="8"/>
    <d v="2022-05-06T00:00:00"/>
    <x v="7"/>
    <s v="2022"/>
    <x v="4"/>
    <s v="$2,597 "/>
    <n v="177"/>
  </r>
  <r>
    <x v="8"/>
    <x v="1"/>
    <x v="9"/>
    <d v="2022-01-28T00:00:00"/>
    <x v="0"/>
    <s v="2022"/>
    <x v="4"/>
    <s v="$2,219 "/>
    <n v="142"/>
  </r>
  <r>
    <x v="11"/>
    <x v="0"/>
    <x v="7"/>
    <d v="2022-06-06T00:00:00"/>
    <x v="5"/>
    <s v="2022"/>
    <x v="1"/>
    <s v="$11,319 "/>
    <n v="12"/>
  </r>
  <r>
    <x v="6"/>
    <x v="3"/>
    <x v="19"/>
    <d v="2022-07-12T00:00:00"/>
    <x v="2"/>
    <s v="2022"/>
    <x v="0"/>
    <s v="$5,978 "/>
    <n v="24"/>
  </r>
  <r>
    <x v="24"/>
    <x v="5"/>
    <x v="12"/>
    <d v="2022-08-05T00:00:00"/>
    <x v="1"/>
    <s v="2022"/>
    <x v="4"/>
    <s v="$5,327 "/>
    <n v="183"/>
  </r>
  <r>
    <x v="6"/>
    <x v="4"/>
    <x v="7"/>
    <d v="2022-01-28T00:00:00"/>
    <x v="0"/>
    <s v="2022"/>
    <x v="4"/>
    <s v="$6,020 "/>
    <n v="147"/>
  </r>
  <r>
    <x v="16"/>
    <x v="1"/>
    <x v="12"/>
    <d v="2022-08-31T00:00:00"/>
    <x v="1"/>
    <s v="2022"/>
    <x v="3"/>
    <s v="$5,614 "/>
    <n v="137"/>
  </r>
  <r>
    <x v="9"/>
    <x v="4"/>
    <x v="6"/>
    <d v="2022-04-19T00:00:00"/>
    <x v="3"/>
    <s v="2022"/>
    <x v="0"/>
    <s v="$1,736 "/>
    <n v="13"/>
  </r>
  <r>
    <x v="9"/>
    <x v="0"/>
    <x v="0"/>
    <d v="2022-06-29T00:00:00"/>
    <x v="5"/>
    <s v="2022"/>
    <x v="3"/>
    <s v="$6,384 "/>
    <n v="2"/>
  </r>
  <r>
    <x v="12"/>
    <x v="1"/>
    <x v="18"/>
    <d v="2022-02-24T00:00:00"/>
    <x v="4"/>
    <s v="2022"/>
    <x v="2"/>
    <s v="$3,577 "/>
    <n v="261"/>
  </r>
  <r>
    <x v="22"/>
    <x v="0"/>
    <x v="3"/>
    <d v="2022-03-04T00:00:00"/>
    <x v="6"/>
    <s v="2022"/>
    <x v="4"/>
    <s v="$14,539 "/>
    <n v="84"/>
  </r>
  <r>
    <x v="2"/>
    <x v="1"/>
    <x v="8"/>
    <d v="2022-06-21T00:00:00"/>
    <x v="5"/>
    <s v="2022"/>
    <x v="0"/>
    <s v="$3,493 "/>
    <n v="68"/>
  </r>
  <r>
    <x v="7"/>
    <x v="2"/>
    <x v="10"/>
    <d v="2022-01-26T00:00:00"/>
    <x v="0"/>
    <s v="2022"/>
    <x v="3"/>
    <s v="$994 "/>
    <n v="105"/>
  </r>
  <r>
    <x v="4"/>
    <x v="3"/>
    <x v="14"/>
    <d v="2022-06-10T00:00:00"/>
    <x v="5"/>
    <s v="2022"/>
    <x v="4"/>
    <s v="$4,361 "/>
    <n v="40"/>
  </r>
  <r>
    <x v="19"/>
    <x v="0"/>
    <x v="9"/>
    <d v="2022-05-23T00:00:00"/>
    <x v="7"/>
    <s v="2022"/>
    <x v="1"/>
    <s v="$1,554 "/>
    <n v="65"/>
  </r>
  <r>
    <x v="20"/>
    <x v="1"/>
    <x v="11"/>
    <d v="2022-04-15T00:00:00"/>
    <x v="3"/>
    <s v="2022"/>
    <x v="4"/>
    <s v="$966 "/>
    <n v="107"/>
  </r>
  <r>
    <x v="10"/>
    <x v="3"/>
    <x v="20"/>
    <d v="2022-01-31T00:00:00"/>
    <x v="0"/>
    <s v="2022"/>
    <x v="1"/>
    <s v="$5,334 "/>
    <n v="227"/>
  </r>
  <r>
    <x v="19"/>
    <x v="3"/>
    <x v="10"/>
    <d v="2022-03-04T00:00:00"/>
    <x v="6"/>
    <s v="2022"/>
    <x v="4"/>
    <s v="$4,935 "/>
    <n v="39"/>
  </r>
  <r>
    <x v="8"/>
    <x v="3"/>
    <x v="5"/>
    <d v="2022-04-19T00:00:00"/>
    <x v="3"/>
    <s v="2022"/>
    <x v="0"/>
    <s v="$10,024 "/>
    <n v="84"/>
  </r>
  <r>
    <x v="12"/>
    <x v="0"/>
    <x v="16"/>
    <d v="2022-05-16T00:00:00"/>
    <x v="7"/>
    <s v="2022"/>
    <x v="1"/>
    <s v="$2,506 "/>
    <n v="100"/>
  </r>
  <r>
    <x v="4"/>
    <x v="2"/>
    <x v="17"/>
    <d v="2022-02-17T00:00:00"/>
    <x v="4"/>
    <s v="2022"/>
    <x v="2"/>
    <s v="$1,043 "/>
    <n v="120"/>
  </r>
  <r>
    <x v="17"/>
    <x v="4"/>
    <x v="17"/>
    <d v="2022-01-18T00:00:00"/>
    <x v="0"/>
    <s v="2022"/>
    <x v="0"/>
    <s v="$6,524 "/>
    <n v="257"/>
  </r>
  <r>
    <x v="13"/>
    <x v="5"/>
    <x v="7"/>
    <d v="2022-02-09T00:00:00"/>
    <x v="4"/>
    <s v="2022"/>
    <x v="3"/>
    <s v="$8,148 "/>
    <n v="85"/>
  </r>
  <r>
    <x v="9"/>
    <x v="5"/>
    <x v="7"/>
    <d v="2022-03-23T00:00:00"/>
    <x v="6"/>
    <s v="2022"/>
    <x v="3"/>
    <s v="$3,577 "/>
    <n v="178"/>
  </r>
  <r>
    <x v="22"/>
    <x v="3"/>
    <x v="20"/>
    <d v="2022-02-01T00:00:00"/>
    <x v="4"/>
    <s v="2022"/>
    <x v="0"/>
    <s v="$3,374 "/>
    <n v="151"/>
  </r>
  <r>
    <x v="9"/>
    <x v="1"/>
    <x v="9"/>
    <d v="2022-03-07T00:00:00"/>
    <x v="6"/>
    <s v="2022"/>
    <x v="1"/>
    <s v="$3,948 "/>
    <n v="142"/>
  </r>
  <r>
    <x v="24"/>
    <x v="0"/>
    <x v="14"/>
    <d v="2022-01-03T00:00:00"/>
    <x v="0"/>
    <s v="2022"/>
    <x v="1"/>
    <s v="$3,269 "/>
    <n v="226"/>
  </r>
  <r>
    <x v="24"/>
    <x v="4"/>
    <x v="14"/>
    <d v="2022-02-11T00:00:00"/>
    <x v="4"/>
    <s v="2022"/>
    <x v="4"/>
    <s v="$5,271 "/>
    <n v="341"/>
  </r>
  <r>
    <x v="17"/>
    <x v="3"/>
    <x v="7"/>
    <d v="2022-03-16T00:00:00"/>
    <x v="6"/>
    <s v="2022"/>
    <x v="3"/>
    <s v="$4,571 "/>
    <n v="140"/>
  </r>
  <r>
    <x v="23"/>
    <x v="1"/>
    <x v="14"/>
    <d v="2022-08-15T00:00:00"/>
    <x v="1"/>
    <s v="2022"/>
    <x v="1"/>
    <s v="$12,327 "/>
    <n v="330"/>
  </r>
  <r>
    <x v="2"/>
    <x v="1"/>
    <x v="15"/>
    <d v="2022-05-12T00:00:00"/>
    <x v="7"/>
    <s v="2022"/>
    <x v="2"/>
    <s v="$4,935 "/>
    <n v="73"/>
  </r>
  <r>
    <x v="1"/>
    <x v="1"/>
    <x v="12"/>
    <d v="2022-04-11T00:00:00"/>
    <x v="3"/>
    <s v="2022"/>
    <x v="1"/>
    <s v="$6,167 "/>
    <n v="4"/>
  </r>
  <r>
    <x v="3"/>
    <x v="3"/>
    <x v="0"/>
    <d v="2022-06-30T00:00:00"/>
    <x v="5"/>
    <s v="2022"/>
    <x v="2"/>
    <s v="$18,340 "/>
    <n v="285"/>
  </r>
  <r>
    <x v="23"/>
    <x v="3"/>
    <x v="14"/>
    <d v="2022-06-15T00:00:00"/>
    <x v="5"/>
    <s v="2022"/>
    <x v="3"/>
    <s v="$7,014 "/>
    <n v="60"/>
  </r>
  <r>
    <x v="7"/>
    <x v="5"/>
    <x v="20"/>
    <d v="2022-08-01T00:00:00"/>
    <x v="1"/>
    <s v="2022"/>
    <x v="1"/>
    <s v="$7,119 "/>
    <n v="101"/>
  </r>
  <r>
    <x v="16"/>
    <x v="4"/>
    <x v="11"/>
    <d v="2022-06-15T00:00:00"/>
    <x v="5"/>
    <s v="2022"/>
    <x v="3"/>
    <s v="$15,491 "/>
    <n v="58"/>
  </r>
  <r>
    <x v="6"/>
    <x v="1"/>
    <x v="5"/>
    <d v="2022-06-16T00:00:00"/>
    <x v="5"/>
    <s v="2022"/>
    <x v="2"/>
    <s v="$5,747 "/>
    <n v="45"/>
  </r>
  <r>
    <x v="4"/>
    <x v="3"/>
    <x v="17"/>
    <d v="2022-05-13T00:00:00"/>
    <x v="7"/>
    <s v="2022"/>
    <x v="4"/>
    <s v="$4,550 "/>
    <n v="281"/>
  </r>
  <r>
    <x v="17"/>
    <x v="4"/>
    <x v="9"/>
    <d v="2022-05-10T00:00:00"/>
    <x v="7"/>
    <s v="2022"/>
    <x v="0"/>
    <s v="$2,191 "/>
    <n v="138"/>
  </r>
  <r>
    <x v="4"/>
    <x v="1"/>
    <x v="8"/>
    <d v="2022-08-25T00:00:00"/>
    <x v="1"/>
    <s v="2022"/>
    <x v="2"/>
    <s v="$5,663 "/>
    <n v="322"/>
  </r>
  <r>
    <x v="24"/>
    <x v="3"/>
    <x v="10"/>
    <d v="2022-07-15T00:00:00"/>
    <x v="2"/>
    <s v="2022"/>
    <x v="4"/>
    <s v="$7,623 "/>
    <n v="85"/>
  </r>
  <r>
    <x v="2"/>
    <x v="0"/>
    <x v="19"/>
    <d v="2022-05-16T00:00:00"/>
    <x v="7"/>
    <s v="2022"/>
    <x v="1"/>
    <s v="$9,023 "/>
    <n v="409"/>
  </r>
  <r>
    <x v="3"/>
    <x v="2"/>
    <x v="6"/>
    <d v="2022-06-14T00:00:00"/>
    <x v="5"/>
    <s v="2022"/>
    <x v="0"/>
    <s v="$3,402 "/>
    <n v="182"/>
  </r>
  <r>
    <x v="12"/>
    <x v="2"/>
    <x v="3"/>
    <d v="2022-01-25T00:00:00"/>
    <x v="0"/>
    <s v="2022"/>
    <x v="0"/>
    <s v="$10,507 "/>
    <n v="467"/>
  </r>
  <r>
    <x v="24"/>
    <x v="4"/>
    <x v="10"/>
    <d v="2022-07-28T00:00:00"/>
    <x v="2"/>
    <s v="2022"/>
    <x v="2"/>
    <s v="$7,721 "/>
    <n v="14"/>
  </r>
  <r>
    <x v="6"/>
    <x v="5"/>
    <x v="0"/>
    <d v="2022-01-28T00:00:00"/>
    <x v="0"/>
    <s v="2022"/>
    <x v="4"/>
    <s v="$5,033 "/>
    <n v="178"/>
  </r>
  <r>
    <x v="16"/>
    <x v="0"/>
    <x v="7"/>
    <d v="2022-06-29T00:00:00"/>
    <x v="5"/>
    <s v="2022"/>
    <x v="3"/>
    <s v="$1,960 "/>
    <n v="191"/>
  </r>
  <r>
    <x v="10"/>
    <x v="2"/>
    <x v="21"/>
    <d v="2022-06-24T00:00:00"/>
    <x v="5"/>
    <s v="2022"/>
    <x v="4"/>
    <s v="$238 "/>
    <n v="317"/>
  </r>
  <r>
    <x v="5"/>
    <x v="5"/>
    <x v="0"/>
    <d v="2022-07-01T00:00:00"/>
    <x v="2"/>
    <s v="2022"/>
    <x v="4"/>
    <s v="$7,756 "/>
    <n v="410"/>
  </r>
  <r>
    <x v="13"/>
    <x v="4"/>
    <x v="2"/>
    <d v="2022-02-25T00:00:00"/>
    <x v="4"/>
    <s v="2022"/>
    <x v="4"/>
    <s v="$1,736 "/>
    <n v="137"/>
  </r>
  <r>
    <x v="14"/>
    <x v="5"/>
    <x v="3"/>
    <d v="2022-08-01T00:00:00"/>
    <x v="1"/>
    <s v="2022"/>
    <x v="1"/>
    <s v="$2,660 "/>
    <n v="12"/>
  </r>
  <r>
    <x v="4"/>
    <x v="2"/>
    <x v="11"/>
    <d v="2022-06-21T00:00:00"/>
    <x v="5"/>
    <s v="2022"/>
    <x v="0"/>
    <s v="$7,672 "/>
    <n v="254"/>
  </r>
  <r>
    <x v="21"/>
    <x v="3"/>
    <x v="12"/>
    <d v="2022-01-25T00:00:00"/>
    <x v="0"/>
    <s v="2022"/>
    <x v="0"/>
    <s v="$11,564 "/>
    <n v="24"/>
  </r>
  <r>
    <x v="2"/>
    <x v="0"/>
    <x v="11"/>
    <d v="2022-05-17T00:00:00"/>
    <x v="7"/>
    <s v="2022"/>
    <x v="0"/>
    <s v="$1,365 "/>
    <n v="232"/>
  </r>
  <r>
    <x v="19"/>
    <x v="2"/>
    <x v="1"/>
    <d v="2022-08-23T00:00:00"/>
    <x v="1"/>
    <s v="2022"/>
    <x v="0"/>
    <s v="$4,186 "/>
    <n v="233"/>
  </r>
  <r>
    <x v="21"/>
    <x v="2"/>
    <x v="3"/>
    <d v="2022-03-03T00:00:00"/>
    <x v="6"/>
    <s v="2022"/>
    <x v="2"/>
    <s v="$7,406 "/>
    <n v="118"/>
  </r>
  <r>
    <x v="13"/>
    <x v="1"/>
    <x v="20"/>
    <d v="2022-05-30T00:00:00"/>
    <x v="7"/>
    <s v="2022"/>
    <x v="1"/>
    <s v="$8,911 "/>
    <n v="543"/>
  </r>
  <r>
    <x v="10"/>
    <x v="4"/>
    <x v="9"/>
    <d v="2022-06-29T00:00:00"/>
    <x v="5"/>
    <s v="2022"/>
    <x v="3"/>
    <s v="$112 "/>
    <n v="223"/>
  </r>
  <r>
    <x v="19"/>
    <x v="5"/>
    <x v="10"/>
    <d v="2022-01-04T00:00:00"/>
    <x v="0"/>
    <s v="2022"/>
    <x v="0"/>
    <s v="$8,204 "/>
    <n v="204"/>
  </r>
  <r>
    <x v="0"/>
    <x v="2"/>
    <x v="9"/>
    <d v="2022-01-14T00:00:00"/>
    <x v="0"/>
    <s v="2022"/>
    <x v="4"/>
    <s v="$2,611 "/>
    <n v="65"/>
  </r>
  <r>
    <x v="10"/>
    <x v="4"/>
    <x v="0"/>
    <d v="2022-02-15T00:00:00"/>
    <x v="4"/>
    <s v="2022"/>
    <x v="0"/>
    <s v="$15,652 "/>
    <n v="53"/>
  </r>
  <r>
    <x v="14"/>
    <x v="3"/>
    <x v="12"/>
    <d v="2022-01-10T00:00:00"/>
    <x v="0"/>
    <s v="2022"/>
    <x v="1"/>
    <s v="$4,074 "/>
    <n v="469"/>
  </r>
  <r>
    <x v="22"/>
    <x v="4"/>
    <x v="14"/>
    <d v="2022-05-04T00:00:00"/>
    <x v="7"/>
    <s v="2022"/>
    <x v="3"/>
    <s v="$12,250 "/>
    <n v="213"/>
  </r>
  <r>
    <x v="19"/>
    <x v="4"/>
    <x v="12"/>
    <d v="2022-05-23T00:00:00"/>
    <x v="7"/>
    <s v="2022"/>
    <x v="1"/>
    <s v="$2,366 "/>
    <n v="5"/>
  </r>
  <r>
    <x v="8"/>
    <x v="3"/>
    <x v="13"/>
    <d v="2022-04-26T00:00:00"/>
    <x v="3"/>
    <s v="2022"/>
    <x v="0"/>
    <s v="$1,687 "/>
    <n v="147"/>
  </r>
  <r>
    <x v="4"/>
    <x v="5"/>
    <x v="10"/>
    <d v="2022-07-05T00:00:00"/>
    <x v="2"/>
    <s v="2022"/>
    <x v="0"/>
    <s v="$1,232 "/>
    <n v="74"/>
  </r>
  <r>
    <x v="22"/>
    <x v="0"/>
    <x v="10"/>
    <d v="2022-07-21T00:00:00"/>
    <x v="2"/>
    <s v="2022"/>
    <x v="2"/>
    <s v="$6,965 "/>
    <n v="163"/>
  </r>
  <r>
    <x v="23"/>
    <x v="4"/>
    <x v="0"/>
    <d v="2022-02-21T00:00:00"/>
    <x v="4"/>
    <s v="2022"/>
    <x v="1"/>
    <s v="$5,292 "/>
    <n v="248"/>
  </r>
  <r>
    <x v="20"/>
    <x v="4"/>
    <x v="7"/>
    <d v="2022-02-03T00:00:00"/>
    <x v="4"/>
    <s v="2022"/>
    <x v="2"/>
    <s v="$1,379 "/>
    <n v="138"/>
  </r>
  <r>
    <x v="2"/>
    <x v="2"/>
    <x v="20"/>
    <d v="2022-07-08T00:00:00"/>
    <x v="2"/>
    <s v="2022"/>
    <x v="4"/>
    <s v="$8,001 "/>
    <n v="151"/>
  </r>
  <r>
    <x v="9"/>
    <x v="1"/>
    <x v="6"/>
    <d v="2022-05-31T00:00:00"/>
    <x v="7"/>
    <s v="2022"/>
    <x v="0"/>
    <s v="$588 "/>
    <n v="139"/>
  </r>
  <r>
    <x v="1"/>
    <x v="3"/>
    <x v="0"/>
    <d v="2022-06-27T00:00:00"/>
    <x v="5"/>
    <s v="2022"/>
    <x v="1"/>
    <s v="$4,046 "/>
    <n v="103"/>
  </r>
  <r>
    <x v="1"/>
    <x v="1"/>
    <x v="6"/>
    <d v="2022-05-13T00:00:00"/>
    <x v="7"/>
    <s v="2022"/>
    <x v="4"/>
    <s v="$5,103 "/>
    <n v="129"/>
  </r>
  <r>
    <x v="1"/>
    <x v="4"/>
    <x v="15"/>
    <d v="2022-05-31T00:00:00"/>
    <x v="7"/>
    <s v="2022"/>
    <x v="0"/>
    <s v="$2,317 "/>
    <n v="102"/>
  </r>
  <r>
    <x v="18"/>
    <x v="4"/>
    <x v="7"/>
    <d v="2022-02-28T00:00:00"/>
    <x v="4"/>
    <s v="2022"/>
    <x v="1"/>
    <s v="$7,042 "/>
    <n v="37"/>
  </r>
  <r>
    <x v="8"/>
    <x v="3"/>
    <x v="8"/>
    <d v="2022-03-28T00:00:00"/>
    <x v="6"/>
    <s v="2022"/>
    <x v="1"/>
    <s v="$6,713 "/>
    <n v="31"/>
  </r>
  <r>
    <x v="2"/>
    <x v="4"/>
    <x v="5"/>
    <d v="2022-01-14T00:00:00"/>
    <x v="0"/>
    <s v="2022"/>
    <x v="4"/>
    <s v="$1,848 "/>
    <n v="227"/>
  </r>
  <r>
    <x v="8"/>
    <x v="3"/>
    <x v="0"/>
    <d v="2022-02-21T00:00:00"/>
    <x v="4"/>
    <s v="2022"/>
    <x v="1"/>
    <s v="$6,440 "/>
    <n v="145"/>
  </r>
  <r>
    <x v="17"/>
    <x v="5"/>
    <x v="1"/>
    <d v="2022-08-01T00:00:00"/>
    <x v="1"/>
    <s v="2022"/>
    <x v="1"/>
    <s v="$10,885 "/>
    <n v="90"/>
  </r>
  <r>
    <x v="12"/>
    <x v="3"/>
    <x v="3"/>
    <d v="2022-05-19T00:00:00"/>
    <x v="7"/>
    <s v="2022"/>
    <x v="2"/>
    <s v="$2,387 "/>
    <n v="59"/>
  </r>
  <r>
    <x v="15"/>
    <x v="4"/>
    <x v="14"/>
    <d v="2022-07-13T00:00:00"/>
    <x v="2"/>
    <s v="2022"/>
    <x v="3"/>
    <s v="$2,030 "/>
    <n v="60"/>
  </r>
  <r>
    <x v="19"/>
    <x v="2"/>
    <x v="2"/>
    <d v="2022-04-20T00:00:00"/>
    <x v="3"/>
    <s v="2022"/>
    <x v="3"/>
    <s v="$6,678 "/>
    <n v="148"/>
  </r>
  <r>
    <x v="17"/>
    <x v="1"/>
    <x v="1"/>
    <d v="2022-06-30T00:00:00"/>
    <x v="5"/>
    <s v="2022"/>
    <x v="2"/>
    <s v="$4,515 "/>
    <n v="22"/>
  </r>
  <r>
    <x v="14"/>
    <x v="0"/>
    <x v="6"/>
    <d v="2022-03-08T00:00:00"/>
    <x v="6"/>
    <s v="2022"/>
    <x v="0"/>
    <s v="$3,374 "/>
    <n v="142"/>
  </r>
  <r>
    <x v="5"/>
    <x v="4"/>
    <x v="13"/>
    <d v="2022-03-09T00:00:00"/>
    <x v="6"/>
    <s v="2022"/>
    <x v="3"/>
    <s v="$5,852 "/>
    <n v="93"/>
  </r>
  <r>
    <x v="4"/>
    <x v="5"/>
    <x v="17"/>
    <d v="2022-06-16T00:00:00"/>
    <x v="5"/>
    <s v="2022"/>
    <x v="2"/>
    <s v="$1,750 "/>
    <n v="208"/>
  </r>
  <r>
    <x v="2"/>
    <x v="0"/>
    <x v="9"/>
    <d v="2022-06-30T00:00:00"/>
    <x v="5"/>
    <s v="2022"/>
    <x v="2"/>
    <s v="$5,782 "/>
    <n v="42"/>
  </r>
  <r>
    <x v="20"/>
    <x v="1"/>
    <x v="0"/>
    <d v="2022-07-28T00:00:00"/>
    <x v="2"/>
    <s v="2022"/>
    <x v="2"/>
    <s v="$2,870 "/>
    <n v="120"/>
  </r>
  <r>
    <x v="10"/>
    <x v="5"/>
    <x v="2"/>
    <d v="2022-08-12T00:00:00"/>
    <x v="1"/>
    <s v="2022"/>
    <x v="4"/>
    <s v="$3,094 "/>
    <n v="159"/>
  </r>
  <r>
    <x v="8"/>
    <x v="0"/>
    <x v="0"/>
    <d v="2022-07-07T00:00:00"/>
    <x v="2"/>
    <s v="2022"/>
    <x v="2"/>
    <s v="$3,724 "/>
    <n v="316"/>
  </r>
  <r>
    <x v="8"/>
    <x v="4"/>
    <x v="1"/>
    <d v="2022-08-25T00:00:00"/>
    <x v="1"/>
    <s v="2022"/>
    <x v="2"/>
    <s v="$12,761 "/>
    <n v="47"/>
  </r>
  <r>
    <x v="15"/>
    <x v="5"/>
    <x v="8"/>
    <d v="2022-01-17T00:00:00"/>
    <x v="0"/>
    <s v="2022"/>
    <x v="1"/>
    <s v="$3,696 "/>
    <n v="233"/>
  </r>
  <r>
    <x v="3"/>
    <x v="2"/>
    <x v="21"/>
    <d v="2022-03-04T00:00:00"/>
    <x v="6"/>
    <s v="2022"/>
    <x v="4"/>
    <s v="$5,222 "/>
    <n v="384"/>
  </r>
  <r>
    <x v="11"/>
    <x v="3"/>
    <x v="13"/>
    <d v="2022-08-25T00:00:00"/>
    <x v="1"/>
    <s v="2022"/>
    <x v="2"/>
    <s v="$8,939 "/>
    <n v="4"/>
  </r>
  <r>
    <x v="24"/>
    <x v="0"/>
    <x v="2"/>
    <d v="2022-04-15T00:00:00"/>
    <x v="3"/>
    <s v="2022"/>
    <x v="4"/>
    <s v="$2,156 "/>
    <n v="260"/>
  </r>
  <r>
    <x v="16"/>
    <x v="4"/>
    <x v="10"/>
    <d v="2022-03-11T00:00:00"/>
    <x v="6"/>
    <s v="2022"/>
    <x v="4"/>
    <s v="$2,380 "/>
    <n v="22"/>
  </r>
  <r>
    <x v="21"/>
    <x v="4"/>
    <x v="17"/>
    <d v="2022-05-20T00:00:00"/>
    <x v="7"/>
    <s v="2022"/>
    <x v="4"/>
    <s v="$3,339 "/>
    <n v="18"/>
  </r>
  <r>
    <x v="6"/>
    <x v="3"/>
    <x v="15"/>
    <d v="2022-06-14T00:00:00"/>
    <x v="5"/>
    <s v="2022"/>
    <x v="0"/>
    <s v="$14,980 "/>
    <n v="42"/>
  </r>
  <r>
    <x v="0"/>
    <x v="3"/>
    <x v="5"/>
    <d v="2022-04-14T00:00:00"/>
    <x v="3"/>
    <s v="2022"/>
    <x v="2"/>
    <s v="$1,512 "/>
    <n v="73"/>
  </r>
  <r>
    <x v="0"/>
    <x v="4"/>
    <x v="3"/>
    <d v="2022-07-07T00:00:00"/>
    <x v="2"/>
    <s v="2022"/>
    <x v="2"/>
    <s v="$6,657 "/>
    <n v="154"/>
  </r>
  <r>
    <x v="22"/>
    <x v="1"/>
    <x v="0"/>
    <d v="2022-08-24T00:00:00"/>
    <x v="1"/>
    <s v="2022"/>
    <x v="3"/>
    <s v="$3,836 "/>
    <n v="71"/>
  </r>
  <r>
    <x v="0"/>
    <x v="1"/>
    <x v="8"/>
    <d v="2022-02-24T00:00:00"/>
    <x v="4"/>
    <s v="2022"/>
    <x v="2"/>
    <s v="$8,771 "/>
    <n v="127"/>
  </r>
  <r>
    <x v="10"/>
    <x v="5"/>
    <x v="17"/>
    <d v="2022-05-09T00:00:00"/>
    <x v="7"/>
    <s v="2022"/>
    <x v="1"/>
    <s v="$651 "/>
    <n v="224"/>
  </r>
  <r>
    <x v="16"/>
    <x v="2"/>
    <x v="21"/>
    <d v="2022-02-08T00:00:00"/>
    <x v="4"/>
    <s v="2022"/>
    <x v="0"/>
    <s v="$6,706 "/>
    <n v="223"/>
  </r>
  <r>
    <x v="13"/>
    <x v="0"/>
    <x v="21"/>
    <d v="2022-03-24T00:00:00"/>
    <x v="6"/>
    <s v="2022"/>
    <x v="2"/>
    <s v="$1,421 "/>
    <n v="284"/>
  </r>
  <r>
    <x v="7"/>
    <x v="4"/>
    <x v="9"/>
    <d v="2022-06-20T00:00:00"/>
    <x v="5"/>
    <s v="2022"/>
    <x v="1"/>
    <s v="$8,526 "/>
    <n v="73"/>
  </r>
  <r>
    <x v="9"/>
    <x v="5"/>
    <x v="15"/>
    <d v="2022-03-07T00:00:00"/>
    <x v="6"/>
    <s v="2022"/>
    <x v="1"/>
    <s v="$1,435 "/>
    <n v="112"/>
  </r>
  <r>
    <x v="16"/>
    <x v="2"/>
    <x v="13"/>
    <d v="2022-06-20T00:00:00"/>
    <x v="5"/>
    <s v="2022"/>
    <x v="1"/>
    <s v="$7,434 "/>
    <n v="85"/>
  </r>
  <r>
    <x v="4"/>
    <x v="3"/>
    <x v="10"/>
    <d v="2022-02-17T00:00:00"/>
    <x v="4"/>
    <s v="2022"/>
    <x v="2"/>
    <s v="$15,316 "/>
    <n v="270"/>
  </r>
  <r>
    <x v="22"/>
    <x v="0"/>
    <x v="4"/>
    <d v="2022-01-26T00:00:00"/>
    <x v="0"/>
    <s v="2022"/>
    <x v="3"/>
    <s v="$10,479 "/>
    <n v="45"/>
  </r>
  <r>
    <x v="22"/>
    <x v="2"/>
    <x v="0"/>
    <d v="2022-05-02T00:00:00"/>
    <x v="7"/>
    <s v="2022"/>
    <x v="1"/>
    <s v="$2,751 "/>
    <n v="153"/>
  </r>
  <r>
    <x v="14"/>
    <x v="5"/>
    <x v="4"/>
    <d v="2022-07-07T00:00:00"/>
    <x v="2"/>
    <s v="2022"/>
    <x v="2"/>
    <s v="$12,586 "/>
    <n v="7"/>
  </r>
  <r>
    <x v="7"/>
    <x v="2"/>
    <x v="19"/>
    <d v="2022-08-22T00:00:00"/>
    <x v="1"/>
    <s v="2022"/>
    <x v="1"/>
    <s v="$2,786 "/>
    <n v="51"/>
  </r>
  <r>
    <x v="10"/>
    <x v="2"/>
    <x v="5"/>
    <d v="2022-08-11T00:00:00"/>
    <x v="1"/>
    <s v="2022"/>
    <x v="2"/>
    <s v="$2,303 "/>
    <n v="67"/>
  </r>
  <r>
    <x v="11"/>
    <x v="0"/>
    <x v="4"/>
    <d v="2022-01-13T00:00:00"/>
    <x v="0"/>
    <s v="2022"/>
    <x v="2"/>
    <s v="$8,113 "/>
    <n v="194"/>
  </r>
  <r>
    <x v="5"/>
    <x v="2"/>
    <x v="6"/>
    <d v="2022-03-02T00:00:00"/>
    <x v="6"/>
    <s v="2022"/>
    <x v="3"/>
    <s v="$12,271 "/>
    <n v="116"/>
  </r>
  <r>
    <x v="11"/>
    <x v="2"/>
    <x v="18"/>
    <d v="2022-07-27T00:00:00"/>
    <x v="2"/>
    <s v="2022"/>
    <x v="3"/>
    <s v="$11,298 "/>
    <n v="41"/>
  </r>
  <r>
    <x v="20"/>
    <x v="3"/>
    <x v="9"/>
    <d v="2022-03-10T00:00:00"/>
    <x v="6"/>
    <s v="2022"/>
    <x v="2"/>
    <s v="$15,855 "/>
    <n v="111"/>
  </r>
  <r>
    <x v="12"/>
    <x v="4"/>
    <x v="1"/>
    <d v="2022-08-23T00:00:00"/>
    <x v="1"/>
    <s v="2022"/>
    <x v="0"/>
    <s v="$12,404 "/>
    <n v="334"/>
  </r>
  <r>
    <x v="13"/>
    <x v="4"/>
    <x v="8"/>
    <d v="2022-04-25T00:00:00"/>
    <x v="3"/>
    <s v="2022"/>
    <x v="1"/>
    <s v="$3,990 "/>
    <n v="155"/>
  </r>
  <r>
    <x v="17"/>
    <x v="0"/>
    <x v="11"/>
    <d v="2022-03-07T00:00:00"/>
    <x v="6"/>
    <s v="2022"/>
    <x v="1"/>
    <s v="$10,808 "/>
    <n v="407"/>
  </r>
  <r>
    <x v="18"/>
    <x v="0"/>
    <x v="10"/>
    <d v="2022-07-12T00:00:00"/>
    <x v="2"/>
    <s v="2022"/>
    <x v="0"/>
    <s v="$4,858 "/>
    <n v="52"/>
  </r>
  <r>
    <x v="22"/>
    <x v="4"/>
    <x v="7"/>
    <d v="2022-05-16T00:00:00"/>
    <x v="7"/>
    <s v="2022"/>
    <x v="1"/>
    <s v="$7,742 "/>
    <n v="138"/>
  </r>
  <r>
    <x v="5"/>
    <x v="1"/>
    <x v="3"/>
    <d v="2022-03-02T00:00:00"/>
    <x v="6"/>
    <s v="2022"/>
    <x v="3"/>
    <s v="$3,752 "/>
    <n v="70"/>
  </r>
  <r>
    <x v="11"/>
    <x v="3"/>
    <x v="1"/>
    <d v="2022-05-30T00:00:00"/>
    <x v="7"/>
    <s v="2022"/>
    <x v="1"/>
    <s v="$1,218 "/>
    <n v="149"/>
  </r>
  <r>
    <x v="11"/>
    <x v="0"/>
    <x v="15"/>
    <d v="2022-06-10T00:00:00"/>
    <x v="5"/>
    <s v="2022"/>
    <x v="4"/>
    <s v="$10,983 "/>
    <n v="179"/>
  </r>
  <r>
    <x v="6"/>
    <x v="4"/>
    <x v="4"/>
    <d v="2022-07-25T00:00:00"/>
    <x v="2"/>
    <s v="2022"/>
    <x v="1"/>
    <s v="$6,769 "/>
    <n v="353"/>
  </r>
  <r>
    <x v="12"/>
    <x v="3"/>
    <x v="0"/>
    <d v="2022-06-09T00:00:00"/>
    <x v="5"/>
    <s v="2022"/>
    <x v="2"/>
    <s v="$4,361 "/>
    <n v="97"/>
  </r>
  <r>
    <x v="17"/>
    <x v="4"/>
    <x v="11"/>
    <d v="2022-05-12T00:00:00"/>
    <x v="7"/>
    <s v="2022"/>
    <x v="2"/>
    <s v="$777 "/>
    <n v="60"/>
  </r>
  <r>
    <x v="5"/>
    <x v="4"/>
    <x v="9"/>
    <d v="2022-05-09T00:00:00"/>
    <x v="7"/>
    <s v="2022"/>
    <x v="1"/>
    <s v="$3,843 "/>
    <n v="5"/>
  </r>
  <r>
    <x v="6"/>
    <x v="5"/>
    <x v="15"/>
    <d v="2022-08-09T00:00:00"/>
    <x v="1"/>
    <s v="2022"/>
    <x v="0"/>
    <s v="$6,930 "/>
    <n v="182"/>
  </r>
  <r>
    <x v="1"/>
    <x v="1"/>
    <x v="18"/>
    <d v="2022-04-13T00:00:00"/>
    <x v="3"/>
    <s v="2022"/>
    <x v="3"/>
    <s v="$5,733 "/>
    <n v="114"/>
  </r>
  <r>
    <x v="19"/>
    <x v="4"/>
    <x v="20"/>
    <d v="2022-05-02T00:00:00"/>
    <x v="7"/>
    <s v="2022"/>
    <x v="1"/>
    <s v="$8,393 "/>
    <n v="46"/>
  </r>
  <r>
    <x v="23"/>
    <x v="4"/>
    <x v="4"/>
    <d v="2022-08-09T00:00:00"/>
    <x v="1"/>
    <s v="2022"/>
    <x v="0"/>
    <s v="$3,822 "/>
    <n v="320"/>
  </r>
  <r>
    <x v="21"/>
    <x v="2"/>
    <x v="17"/>
    <d v="2022-08-23T00:00:00"/>
    <x v="1"/>
    <s v="2022"/>
    <x v="0"/>
    <s v="$6,342 "/>
    <n v="178"/>
  </r>
  <r>
    <x v="5"/>
    <x v="1"/>
    <x v="12"/>
    <d v="2022-05-13T00:00:00"/>
    <x v="7"/>
    <s v="2022"/>
    <x v="4"/>
    <s v="$6,510 "/>
    <n v="170"/>
  </r>
  <r>
    <x v="10"/>
    <x v="4"/>
    <x v="15"/>
    <d v="2022-02-01T00:00:00"/>
    <x v="4"/>
    <s v="2022"/>
    <x v="0"/>
    <s v="$10,171 "/>
    <n v="67"/>
  </r>
  <r>
    <x v="21"/>
    <x v="4"/>
    <x v="6"/>
    <d v="2022-06-23T00:00:00"/>
    <x v="5"/>
    <s v="2022"/>
    <x v="2"/>
    <s v="$5,908 "/>
    <n v="301"/>
  </r>
  <r>
    <x v="22"/>
    <x v="0"/>
    <x v="18"/>
    <d v="2022-05-24T00:00:00"/>
    <x v="7"/>
    <s v="2022"/>
    <x v="0"/>
    <s v="$10,164 "/>
    <n v="134"/>
  </r>
  <r>
    <x v="3"/>
    <x v="5"/>
    <x v="0"/>
    <d v="2022-04-01T00:00:00"/>
    <x v="3"/>
    <s v="2022"/>
    <x v="4"/>
    <s v="$1,064 "/>
    <n v="211"/>
  </r>
  <r>
    <x v="21"/>
    <x v="5"/>
    <x v="21"/>
    <d v="2022-07-27T00:00:00"/>
    <x v="2"/>
    <s v="2022"/>
    <x v="3"/>
    <s v="$9,716 "/>
    <n v="151"/>
  </r>
  <r>
    <x v="24"/>
    <x v="1"/>
    <x v="2"/>
    <d v="2022-01-27T00:00:00"/>
    <x v="0"/>
    <s v="2022"/>
    <x v="2"/>
    <s v="$22,050 "/>
    <n v="208"/>
  </r>
  <r>
    <x v="3"/>
    <x v="1"/>
    <x v="18"/>
    <d v="2022-08-12T00:00:00"/>
    <x v="1"/>
    <s v="2022"/>
    <x v="4"/>
    <s v="$2,541 "/>
    <n v="134"/>
  </r>
  <r>
    <x v="2"/>
    <x v="5"/>
    <x v="16"/>
    <d v="2022-02-01T00:00:00"/>
    <x v="4"/>
    <s v="2022"/>
    <x v="0"/>
    <s v="$9,989 "/>
    <n v="49"/>
  </r>
  <r>
    <x v="7"/>
    <x v="1"/>
    <x v="5"/>
    <d v="2022-03-02T00:00:00"/>
    <x v="6"/>
    <s v="2022"/>
    <x v="3"/>
    <s v="$4,739 "/>
    <n v="204"/>
  </r>
  <r>
    <x v="20"/>
    <x v="2"/>
    <x v="4"/>
    <d v="2022-06-30T00:00:00"/>
    <x v="5"/>
    <s v="2022"/>
    <x v="2"/>
    <s v="$3,185 "/>
    <n v="34"/>
  </r>
  <r>
    <x v="23"/>
    <x v="2"/>
    <x v="12"/>
    <d v="2022-01-17T00:00:00"/>
    <x v="0"/>
    <s v="2022"/>
    <x v="1"/>
    <s v="$8,225 "/>
    <n v="91"/>
  </r>
  <r>
    <x v="6"/>
    <x v="4"/>
    <x v="11"/>
    <d v="2022-07-07T00:00:00"/>
    <x v="2"/>
    <s v="2022"/>
    <x v="2"/>
    <s v="$14,301 "/>
    <n v="130"/>
  </r>
  <r>
    <x v="9"/>
    <x v="3"/>
    <x v="0"/>
    <d v="2022-01-31T00:00:00"/>
    <x v="0"/>
    <s v="2022"/>
    <x v="1"/>
    <s v="$1,316 "/>
    <n v="107"/>
  </r>
  <r>
    <x v="12"/>
    <x v="0"/>
    <x v="4"/>
    <d v="2022-08-10T00:00:00"/>
    <x v="1"/>
    <s v="2022"/>
    <x v="3"/>
    <s v="$3,486 "/>
    <n v="121"/>
  </r>
  <r>
    <x v="12"/>
    <x v="4"/>
    <x v="2"/>
    <d v="2022-08-18T00:00:00"/>
    <x v="1"/>
    <s v="2022"/>
    <x v="2"/>
    <s v="$13,930 "/>
    <n v="339"/>
  </r>
  <r>
    <x v="6"/>
    <x v="3"/>
    <x v="14"/>
    <d v="2022-06-15T00:00:00"/>
    <x v="5"/>
    <s v="2022"/>
    <x v="3"/>
    <s v="$5,509 "/>
    <n v="321"/>
  </r>
  <r>
    <x v="11"/>
    <x v="4"/>
    <x v="19"/>
    <d v="2022-01-26T00:00:00"/>
    <x v="0"/>
    <s v="2022"/>
    <x v="3"/>
    <s v="$8,470 "/>
    <n v="9"/>
  </r>
  <r>
    <x v="20"/>
    <x v="4"/>
    <x v="12"/>
    <d v="2022-04-29T00:00:00"/>
    <x v="3"/>
    <s v="2022"/>
    <x v="4"/>
    <s v="$77 "/>
    <n v="69"/>
  </r>
  <r>
    <x v="9"/>
    <x v="5"/>
    <x v="14"/>
    <d v="2022-03-03T00:00:00"/>
    <x v="6"/>
    <s v="2022"/>
    <x v="2"/>
    <s v="$3,381 "/>
    <n v="72"/>
  </r>
  <r>
    <x v="16"/>
    <x v="2"/>
    <x v="16"/>
    <d v="2022-02-22T00:00:00"/>
    <x v="4"/>
    <s v="2022"/>
    <x v="0"/>
    <s v="$4,102 "/>
    <n v="392"/>
  </r>
  <r>
    <x v="4"/>
    <x v="4"/>
    <x v="3"/>
    <d v="2022-03-04T00:00:00"/>
    <x v="6"/>
    <s v="2022"/>
    <x v="4"/>
    <s v="$3,577 "/>
    <n v="158"/>
  </r>
  <r>
    <x v="17"/>
    <x v="1"/>
    <x v="3"/>
    <d v="2022-07-07T00:00:00"/>
    <x v="2"/>
    <s v="2022"/>
    <x v="2"/>
    <s v="$2,975 "/>
    <n v="9"/>
  </r>
  <r>
    <x v="21"/>
    <x v="3"/>
    <x v="20"/>
    <d v="2022-06-17T00:00:00"/>
    <x v="5"/>
    <s v="2022"/>
    <x v="4"/>
    <s v="$4,137 "/>
    <n v="347"/>
  </r>
  <r>
    <x v="3"/>
    <x v="5"/>
    <x v="20"/>
    <d v="2022-08-02T00:00:00"/>
    <x v="1"/>
    <s v="2022"/>
    <x v="0"/>
    <s v="$9,541 "/>
    <n v="114"/>
  </r>
  <r>
    <x v="4"/>
    <x v="4"/>
    <x v="19"/>
    <d v="2022-08-12T00:00:00"/>
    <x v="1"/>
    <s v="2022"/>
    <x v="4"/>
    <s v="$8,001 "/>
    <n v="120"/>
  </r>
  <r>
    <x v="22"/>
    <x v="3"/>
    <x v="2"/>
    <d v="2022-01-28T00:00:00"/>
    <x v="0"/>
    <s v="2022"/>
    <x v="4"/>
    <s v="$5,152 "/>
    <n v="333"/>
  </r>
  <r>
    <x v="20"/>
    <x v="2"/>
    <x v="7"/>
    <d v="2022-04-29T00:00:00"/>
    <x v="3"/>
    <s v="2022"/>
    <x v="4"/>
    <s v="$11,116 "/>
    <n v="432"/>
  </r>
  <r>
    <x v="11"/>
    <x v="2"/>
    <x v="15"/>
    <d v="2022-04-05T00:00:00"/>
    <x v="3"/>
    <s v="2022"/>
    <x v="0"/>
    <s v="$13,076 "/>
    <n v="236"/>
  </r>
  <r>
    <x v="16"/>
    <x v="5"/>
    <x v="15"/>
    <d v="2022-01-18T00:00:00"/>
    <x v="0"/>
    <s v="2022"/>
    <x v="0"/>
    <s v="$10,213 "/>
    <n v="135"/>
  </r>
  <r>
    <x v="0"/>
    <x v="0"/>
    <x v="19"/>
    <d v="2022-05-16T00:00:00"/>
    <x v="7"/>
    <s v="2022"/>
    <x v="1"/>
    <s v="$2,485 "/>
    <n v="97"/>
  </r>
  <r>
    <x v="20"/>
    <x v="2"/>
    <x v="14"/>
    <d v="2022-08-24T00:00:00"/>
    <x v="1"/>
    <s v="2022"/>
    <x v="3"/>
    <s v="$8,715 "/>
    <n v="168"/>
  </r>
  <r>
    <x v="14"/>
    <x v="1"/>
    <x v="1"/>
    <d v="2022-01-18T00:00:00"/>
    <x v="0"/>
    <s v="2022"/>
    <x v="0"/>
    <s v="$273 "/>
    <n v="402"/>
  </r>
  <r>
    <x v="16"/>
    <x v="4"/>
    <x v="8"/>
    <d v="2022-08-22T00:00:00"/>
    <x v="1"/>
    <s v="2022"/>
    <x v="1"/>
    <s v="$7,623 "/>
    <n v="10"/>
  </r>
  <r>
    <x v="5"/>
    <x v="0"/>
    <x v="4"/>
    <d v="2022-03-07T00:00:00"/>
    <x v="6"/>
    <s v="2022"/>
    <x v="1"/>
    <s v="$7 "/>
    <n v="84"/>
  </r>
  <r>
    <x v="12"/>
    <x v="0"/>
    <x v="18"/>
    <d v="2022-03-04T00:00:00"/>
    <x v="6"/>
    <s v="2022"/>
    <x v="4"/>
    <s v="$3,010 "/>
    <n v="69"/>
  </r>
  <r>
    <x v="23"/>
    <x v="5"/>
    <x v="15"/>
    <d v="2022-04-22T00:00:00"/>
    <x v="3"/>
    <s v="2022"/>
    <x v="4"/>
    <s v="$11,550 "/>
    <n v="111"/>
  </r>
  <r>
    <x v="16"/>
    <x v="2"/>
    <x v="11"/>
    <d v="2022-06-09T00:00:00"/>
    <x v="5"/>
    <s v="2022"/>
    <x v="2"/>
    <s v="$4,046 "/>
    <n v="89"/>
  </r>
  <r>
    <x v="3"/>
    <x v="5"/>
    <x v="13"/>
    <d v="2022-07-25T00:00:00"/>
    <x v="2"/>
    <s v="2022"/>
    <x v="1"/>
    <s v="$8,904 "/>
    <n v="199"/>
  </r>
  <r>
    <x v="3"/>
    <x v="1"/>
    <x v="3"/>
    <d v="2022-08-03T00:00:00"/>
    <x v="1"/>
    <s v="2022"/>
    <x v="3"/>
    <s v="$11,298 "/>
    <n v="89"/>
  </r>
  <r>
    <x v="7"/>
    <x v="2"/>
    <x v="15"/>
    <d v="2022-08-03T00:00:00"/>
    <x v="1"/>
    <s v="2022"/>
    <x v="3"/>
    <s v="$4,396 "/>
    <n v="131"/>
  </r>
  <r>
    <x v="0"/>
    <x v="0"/>
    <x v="11"/>
    <d v="2022-05-03T00:00:00"/>
    <x v="7"/>
    <s v="2022"/>
    <x v="0"/>
    <s v="$12,068 "/>
    <n v="227"/>
  </r>
  <r>
    <x v="15"/>
    <x v="5"/>
    <x v="5"/>
    <d v="2022-01-19T00:00:00"/>
    <x v="0"/>
    <s v="2022"/>
    <x v="3"/>
    <s v="$9,772 "/>
    <n v="301"/>
  </r>
  <r>
    <x v="13"/>
    <x v="4"/>
    <x v="6"/>
    <d v="2022-02-11T00:00:00"/>
    <x v="4"/>
    <s v="2022"/>
    <x v="4"/>
    <s v="$10,458 "/>
    <n v="316"/>
  </r>
  <r>
    <x v="1"/>
    <x v="1"/>
    <x v="16"/>
    <d v="2022-06-14T00:00:00"/>
    <x v="5"/>
    <s v="2022"/>
    <x v="0"/>
    <s v="$6,426 "/>
    <n v="390"/>
  </r>
  <r>
    <x v="20"/>
    <x v="4"/>
    <x v="6"/>
    <d v="2022-03-23T00:00:00"/>
    <x v="6"/>
    <s v="2022"/>
    <x v="3"/>
    <s v="$6,188 "/>
    <n v="223"/>
  </r>
  <r>
    <x v="22"/>
    <x v="5"/>
    <x v="1"/>
    <d v="2022-02-17T00:00:00"/>
    <x v="4"/>
    <s v="2022"/>
    <x v="2"/>
    <s v="$7,504 "/>
    <n v="101"/>
  </r>
  <r>
    <x v="17"/>
    <x v="5"/>
    <x v="3"/>
    <d v="2022-03-17T00:00:00"/>
    <x v="6"/>
    <s v="2022"/>
    <x v="2"/>
    <s v="$1,750 "/>
    <n v="479"/>
  </r>
  <r>
    <x v="9"/>
    <x v="2"/>
    <x v="12"/>
    <d v="2022-06-29T00:00:00"/>
    <x v="5"/>
    <s v="2022"/>
    <x v="3"/>
    <s v="$5,439 "/>
    <n v="287"/>
  </r>
  <r>
    <x v="24"/>
    <x v="5"/>
    <x v="18"/>
    <d v="2022-08-24T00:00:00"/>
    <x v="1"/>
    <s v="2022"/>
    <x v="3"/>
    <s v="$15,547 "/>
    <n v="269"/>
  </r>
  <r>
    <x v="2"/>
    <x v="5"/>
    <x v="12"/>
    <d v="2022-07-04T00:00:00"/>
    <x v="2"/>
    <s v="2022"/>
    <x v="1"/>
    <s v="$11,956 "/>
    <n v="277"/>
  </r>
  <r>
    <x v="13"/>
    <x v="3"/>
    <x v="16"/>
    <d v="2022-03-28T00:00:00"/>
    <x v="6"/>
    <s v="2022"/>
    <x v="1"/>
    <s v="$2,723 "/>
    <n v="67"/>
  </r>
  <r>
    <x v="14"/>
    <x v="1"/>
    <x v="3"/>
    <d v="2022-04-19T00:00:00"/>
    <x v="3"/>
    <s v="2022"/>
    <x v="0"/>
    <s v="$19,327 "/>
    <n v="135"/>
  </r>
  <r>
    <x v="24"/>
    <x v="3"/>
    <x v="0"/>
    <d v="2022-01-18T00:00:00"/>
    <x v="0"/>
    <s v="2022"/>
    <x v="0"/>
    <s v="$9,058 "/>
    <n v="229"/>
  </r>
  <r>
    <x v="1"/>
    <x v="3"/>
    <x v="13"/>
    <d v="2022-01-17T00:00:00"/>
    <x v="0"/>
    <s v="2022"/>
    <x v="1"/>
    <s v="$2,996 "/>
    <n v="88"/>
  </r>
  <r>
    <x v="19"/>
    <x v="3"/>
    <x v="0"/>
    <d v="2022-02-15T00:00:00"/>
    <x v="4"/>
    <s v="2022"/>
    <x v="0"/>
    <s v="$8,848 "/>
    <n v="211"/>
  </r>
  <r>
    <x v="19"/>
    <x v="0"/>
    <x v="11"/>
    <d v="2022-02-11T00:00:00"/>
    <x v="4"/>
    <s v="2022"/>
    <x v="4"/>
    <s v="$14,336 "/>
    <n v="293"/>
  </r>
  <r>
    <x v="21"/>
    <x v="4"/>
    <x v="15"/>
    <d v="2022-03-21T00:00:00"/>
    <x v="6"/>
    <s v="2022"/>
    <x v="1"/>
    <s v="$16,401 "/>
    <n v="179"/>
  </r>
  <r>
    <x v="5"/>
    <x v="3"/>
    <x v="16"/>
    <d v="2022-01-05T00:00:00"/>
    <x v="0"/>
    <s v="2022"/>
    <x v="3"/>
    <s v="$5,173 "/>
    <n v="129"/>
  </r>
  <r>
    <x v="6"/>
    <x v="1"/>
    <x v="17"/>
    <d v="2022-05-30T00:00:00"/>
    <x v="7"/>
    <s v="2022"/>
    <x v="1"/>
    <s v="$6,328 "/>
    <n v="164"/>
  </r>
  <r>
    <x v="0"/>
    <x v="4"/>
    <x v="4"/>
    <d v="2022-01-04T00:00:00"/>
    <x v="0"/>
    <s v="2022"/>
    <x v="0"/>
    <s v="$2,534 "/>
    <n v="219"/>
  </r>
  <r>
    <x v="12"/>
    <x v="2"/>
    <x v="13"/>
    <d v="2022-04-22T00:00:00"/>
    <x v="3"/>
    <s v="2022"/>
    <x v="4"/>
    <s v="$1,435 "/>
    <n v="258"/>
  </r>
  <r>
    <x v="2"/>
    <x v="5"/>
    <x v="11"/>
    <d v="2022-02-10T00:00:00"/>
    <x v="4"/>
    <s v="2022"/>
    <x v="2"/>
    <s v="$3,052 "/>
    <n v="116"/>
  </r>
  <r>
    <x v="23"/>
    <x v="1"/>
    <x v="12"/>
    <d v="2022-08-12T00:00:00"/>
    <x v="1"/>
    <s v="2022"/>
    <x v="4"/>
    <s v="$910 "/>
    <n v="204"/>
  </r>
  <r>
    <x v="5"/>
    <x v="4"/>
    <x v="10"/>
    <d v="2022-08-10T00:00:00"/>
    <x v="1"/>
    <s v="2022"/>
    <x v="3"/>
    <s v="$2,331 "/>
    <n v="321"/>
  </r>
  <r>
    <x v="20"/>
    <x v="2"/>
    <x v="17"/>
    <d v="2022-06-07T00:00:00"/>
    <x v="5"/>
    <s v="2022"/>
    <x v="0"/>
    <s v="$679 "/>
    <n v="56"/>
  </r>
  <r>
    <x v="0"/>
    <x v="1"/>
    <x v="19"/>
    <d v="2022-06-06T00:00:00"/>
    <x v="5"/>
    <s v="2022"/>
    <x v="1"/>
    <s v="$2,086 "/>
    <n v="74"/>
  </r>
  <r>
    <x v="10"/>
    <x v="3"/>
    <x v="19"/>
    <d v="2022-04-05T00:00:00"/>
    <x v="3"/>
    <s v="2022"/>
    <x v="0"/>
    <s v="$5,012 "/>
    <n v="189"/>
  </r>
  <r>
    <x v="18"/>
    <x v="4"/>
    <x v="6"/>
    <d v="2022-04-18T00:00:00"/>
    <x v="3"/>
    <s v="2022"/>
    <x v="1"/>
    <s v="$4,501 "/>
    <n v="131"/>
  </r>
  <r>
    <x v="19"/>
    <x v="1"/>
    <x v="6"/>
    <d v="2022-01-31T00:00:00"/>
    <x v="0"/>
    <s v="2022"/>
    <x v="1"/>
    <s v="$13,482 "/>
    <n v="15"/>
  </r>
  <r>
    <x v="22"/>
    <x v="4"/>
    <x v="19"/>
    <d v="2022-08-22T00:00:00"/>
    <x v="1"/>
    <s v="2022"/>
    <x v="1"/>
    <s v="$5,621 "/>
    <n v="140"/>
  </r>
  <r>
    <x v="0"/>
    <x v="2"/>
    <x v="4"/>
    <d v="2022-02-25T00:00:00"/>
    <x v="4"/>
    <s v="2022"/>
    <x v="4"/>
    <s v="$10,486 "/>
    <n v="198"/>
  </r>
  <r>
    <x v="3"/>
    <x v="2"/>
    <x v="0"/>
    <d v="2022-02-22T00:00:00"/>
    <x v="4"/>
    <s v="2022"/>
    <x v="0"/>
    <s v="$17,626 "/>
    <n v="103"/>
  </r>
  <r>
    <x v="4"/>
    <x v="3"/>
    <x v="11"/>
    <d v="2022-01-12T00:00:00"/>
    <x v="0"/>
    <s v="2022"/>
    <x v="3"/>
    <s v="$4,494 "/>
    <n v="187"/>
  </r>
  <r>
    <x v="6"/>
    <x v="0"/>
    <x v="16"/>
    <d v="2022-05-25T00:00:00"/>
    <x v="7"/>
    <s v="2022"/>
    <x v="3"/>
    <s v="$105 "/>
    <n v="125"/>
  </r>
  <r>
    <x v="20"/>
    <x v="1"/>
    <x v="3"/>
    <d v="2022-02-01T00:00:00"/>
    <x v="4"/>
    <s v="2022"/>
    <x v="0"/>
    <s v="$2,464 "/>
    <n v="8"/>
  </r>
  <r>
    <x v="7"/>
    <x v="0"/>
    <x v="8"/>
    <d v="2022-04-27T00:00:00"/>
    <x v="3"/>
    <s v="2022"/>
    <x v="3"/>
    <s v="$1,379 "/>
    <n v="70"/>
  </r>
  <r>
    <x v="2"/>
    <x v="4"/>
    <x v="3"/>
    <d v="2022-07-22T00:00:00"/>
    <x v="2"/>
    <s v="2022"/>
    <x v="4"/>
    <s v="$2,583 "/>
    <n v="126"/>
  </r>
  <r>
    <x v="14"/>
    <x v="3"/>
    <x v="0"/>
    <d v="2022-01-26T00:00:00"/>
    <x v="0"/>
    <s v="2022"/>
    <x v="3"/>
    <s v="$3,220 "/>
    <n v="265"/>
  </r>
  <r>
    <x v="14"/>
    <x v="4"/>
    <x v="0"/>
    <d v="2022-08-24T00:00:00"/>
    <x v="1"/>
    <s v="2022"/>
    <x v="3"/>
    <s v="$4,802 "/>
    <n v="296"/>
  </r>
  <r>
    <x v="22"/>
    <x v="3"/>
    <x v="13"/>
    <d v="2022-01-18T00:00:00"/>
    <x v="0"/>
    <s v="2022"/>
    <x v="0"/>
    <s v="$5,677 "/>
    <n v="21"/>
  </r>
  <r>
    <x v="10"/>
    <x v="1"/>
    <x v="1"/>
    <d v="2022-03-30T00:00:00"/>
    <x v="6"/>
    <s v="2022"/>
    <x v="3"/>
    <s v="$945 "/>
    <n v="83"/>
  </r>
  <r>
    <x v="24"/>
    <x v="2"/>
    <x v="20"/>
    <d v="2022-01-17T00:00:00"/>
    <x v="0"/>
    <s v="2022"/>
    <x v="1"/>
    <s v="$8,757 "/>
    <n v="162"/>
  </r>
  <r>
    <x v="20"/>
    <x v="4"/>
    <x v="13"/>
    <d v="2022-02-17T00:00:00"/>
    <x v="4"/>
    <s v="2022"/>
    <x v="2"/>
    <s v="$4,816 "/>
    <n v="145"/>
  </r>
  <r>
    <x v="20"/>
    <x v="5"/>
    <x v="2"/>
    <d v="2022-04-08T00:00:00"/>
    <x v="3"/>
    <s v="2022"/>
    <x v="4"/>
    <s v="$7,532 "/>
    <n v="44"/>
  </r>
  <r>
    <x v="2"/>
    <x v="5"/>
    <x v="9"/>
    <d v="2022-07-06T00:00:00"/>
    <x v="2"/>
    <s v="2022"/>
    <x v="3"/>
    <s v="$3,549 "/>
    <n v="82"/>
  </r>
  <r>
    <x v="15"/>
    <x v="1"/>
    <x v="13"/>
    <d v="2022-04-04T00:00:00"/>
    <x v="3"/>
    <s v="2022"/>
    <x v="1"/>
    <s v="$4,340 "/>
    <n v="226"/>
  </r>
  <r>
    <x v="3"/>
    <x v="3"/>
    <x v="10"/>
    <d v="2022-03-02T00:00:00"/>
    <x v="6"/>
    <s v="2022"/>
    <x v="3"/>
    <s v="$1,799 "/>
    <n v="207"/>
  </r>
  <r>
    <x v="2"/>
    <x v="3"/>
    <x v="17"/>
    <d v="2022-08-09T00:00:00"/>
    <x v="1"/>
    <s v="2022"/>
    <x v="0"/>
    <s v="$1,127 "/>
    <n v="176"/>
  </r>
  <r>
    <x v="17"/>
    <x v="2"/>
    <x v="11"/>
    <d v="2022-06-09T00:00:00"/>
    <x v="5"/>
    <s v="2022"/>
    <x v="2"/>
    <s v="$10,038 "/>
    <n v="286"/>
  </r>
  <r>
    <x v="24"/>
    <x v="0"/>
    <x v="20"/>
    <d v="2022-06-02T00:00:00"/>
    <x v="5"/>
    <s v="2022"/>
    <x v="2"/>
    <s v="$2,926 "/>
    <n v="300"/>
  </r>
  <r>
    <x v="1"/>
    <x v="4"/>
    <x v="13"/>
    <d v="2022-07-05T00:00:00"/>
    <x v="2"/>
    <s v="2022"/>
    <x v="0"/>
    <s v="$6,279 "/>
    <n v="235"/>
  </r>
  <r>
    <x v="19"/>
    <x v="5"/>
    <x v="8"/>
    <d v="2022-08-11T00:00:00"/>
    <x v="1"/>
    <s v="2022"/>
    <x v="2"/>
    <s v="$308 "/>
    <n v="125"/>
  </r>
  <r>
    <x v="22"/>
    <x v="1"/>
    <x v="18"/>
    <d v="2022-02-11T00:00:00"/>
    <x v="4"/>
    <s v="2022"/>
    <x v="4"/>
    <s v="$3,500 "/>
    <n v="145"/>
  </r>
  <r>
    <x v="20"/>
    <x v="3"/>
    <x v="12"/>
    <d v="2022-08-11T00:00:00"/>
    <x v="1"/>
    <s v="2022"/>
    <x v="2"/>
    <s v="$658 "/>
    <n v="65"/>
  </r>
  <r>
    <x v="13"/>
    <x v="2"/>
    <x v="9"/>
    <d v="2022-05-12T00:00:00"/>
    <x v="7"/>
    <s v="2022"/>
    <x v="2"/>
    <s v="$12,565 "/>
    <n v="102"/>
  </r>
  <r>
    <x v="18"/>
    <x v="4"/>
    <x v="11"/>
    <d v="2022-07-15T00:00:00"/>
    <x v="2"/>
    <s v="2022"/>
    <x v="4"/>
    <s v="$5,012 "/>
    <n v="93"/>
  </r>
  <r>
    <x v="19"/>
    <x v="1"/>
    <x v="10"/>
    <d v="2022-01-18T00:00:00"/>
    <x v="0"/>
    <s v="2022"/>
    <x v="0"/>
    <s v="$3,955 "/>
    <n v="134"/>
  </r>
  <r>
    <x v="22"/>
    <x v="0"/>
    <x v="13"/>
    <d v="2022-01-05T00:00:00"/>
    <x v="0"/>
    <s v="2022"/>
    <x v="3"/>
    <s v="$8,512 "/>
    <n v="189"/>
  </r>
  <r>
    <x v="14"/>
    <x v="2"/>
    <x v="6"/>
    <d v="2022-06-29T00:00:00"/>
    <x v="5"/>
    <s v="2022"/>
    <x v="3"/>
    <s v="$504 "/>
    <n v="232"/>
  </r>
  <r>
    <x v="6"/>
    <x v="5"/>
    <x v="17"/>
    <d v="2022-06-14T00:00:00"/>
    <x v="5"/>
    <s v="2022"/>
    <x v="0"/>
    <s v="$2,800 "/>
    <n v="45"/>
  </r>
  <r>
    <x v="5"/>
    <x v="1"/>
    <x v="0"/>
    <d v="2022-08-08T00:00:00"/>
    <x v="1"/>
    <s v="2022"/>
    <x v="1"/>
    <s v="$4,256 "/>
    <n v="67"/>
  </r>
  <r>
    <x v="17"/>
    <x v="1"/>
    <x v="0"/>
    <d v="2022-03-23T00:00:00"/>
    <x v="6"/>
    <s v="2022"/>
    <x v="3"/>
    <s v="$13,573 "/>
    <n v="138"/>
  </r>
  <r>
    <x v="8"/>
    <x v="1"/>
    <x v="20"/>
    <d v="2022-01-04T00:00:00"/>
    <x v="0"/>
    <s v="2022"/>
    <x v="0"/>
    <s v="$6,566 "/>
    <n v="99"/>
  </r>
  <r>
    <x v="6"/>
    <x v="1"/>
    <x v="11"/>
    <d v="2022-02-22T00:00:00"/>
    <x v="4"/>
    <s v="2022"/>
    <x v="0"/>
    <s v="$13,503 "/>
    <n v="251"/>
  </r>
  <r>
    <x v="12"/>
    <x v="0"/>
    <x v="12"/>
    <d v="2022-02-17T00:00:00"/>
    <x v="4"/>
    <s v="2022"/>
    <x v="2"/>
    <s v="$8,680 "/>
    <n v="252"/>
  </r>
  <r>
    <x v="8"/>
    <x v="4"/>
    <x v="16"/>
    <d v="2022-02-03T00:00:00"/>
    <x v="4"/>
    <s v="2022"/>
    <x v="2"/>
    <s v="$385 "/>
    <n v="78"/>
  </r>
  <r>
    <x v="1"/>
    <x v="5"/>
    <x v="17"/>
    <d v="2022-03-17T00:00:00"/>
    <x v="6"/>
    <s v="2022"/>
    <x v="2"/>
    <s v="$1,267 "/>
    <n v="130"/>
  </r>
  <r>
    <x v="18"/>
    <x v="2"/>
    <x v="19"/>
    <d v="2022-01-25T00:00:00"/>
    <x v="0"/>
    <s v="2022"/>
    <x v="0"/>
    <s v="$2,961 "/>
    <n v="154"/>
  </r>
  <r>
    <x v="6"/>
    <x v="2"/>
    <x v="11"/>
    <d v="2022-07-27T00:00:00"/>
    <x v="2"/>
    <s v="2022"/>
    <x v="3"/>
    <s v="$1,981 "/>
    <n v="52"/>
  </r>
  <r>
    <x v="15"/>
    <x v="2"/>
    <x v="13"/>
    <d v="2022-01-28T00:00:00"/>
    <x v="0"/>
    <s v="2022"/>
    <x v="4"/>
    <s v="$7,959 "/>
    <n v="53"/>
  </r>
  <r>
    <x v="22"/>
    <x v="2"/>
    <x v="10"/>
    <d v="2022-07-05T00:00:00"/>
    <x v="2"/>
    <s v="2022"/>
    <x v="0"/>
    <s v="$10,794 "/>
    <n v="50"/>
  </r>
  <r>
    <x v="1"/>
    <x v="1"/>
    <x v="14"/>
    <d v="2022-03-15T00:00:00"/>
    <x v="6"/>
    <s v="2022"/>
    <x v="0"/>
    <s v="$1,897 "/>
    <n v="44"/>
  </r>
  <r>
    <x v="5"/>
    <x v="5"/>
    <x v="5"/>
    <d v="2022-08-04T00:00:00"/>
    <x v="1"/>
    <s v="2022"/>
    <x v="2"/>
    <s v="$2,744 "/>
    <n v="200"/>
  </r>
  <r>
    <x v="3"/>
    <x v="4"/>
    <x v="13"/>
    <d v="2022-06-27T00:00:00"/>
    <x v="5"/>
    <s v="2022"/>
    <x v="1"/>
    <s v="$4,382 "/>
    <n v="361"/>
  </r>
  <r>
    <x v="3"/>
    <x v="5"/>
    <x v="5"/>
    <d v="2022-07-13T00:00:00"/>
    <x v="2"/>
    <s v="2022"/>
    <x v="3"/>
    <s v="$4,515 "/>
    <n v="172"/>
  </r>
  <r>
    <x v="8"/>
    <x v="3"/>
    <x v="15"/>
    <d v="2022-02-24T00:00:00"/>
    <x v="4"/>
    <s v="2022"/>
    <x v="2"/>
    <s v="$5,474 "/>
    <n v="239"/>
  </r>
  <r>
    <x v="10"/>
    <x v="3"/>
    <x v="1"/>
    <d v="2022-06-28T00:00:00"/>
    <x v="5"/>
    <s v="2022"/>
    <x v="0"/>
    <s v="$6,069 "/>
    <n v="55"/>
  </r>
  <r>
    <x v="4"/>
    <x v="2"/>
    <x v="1"/>
    <d v="2022-06-30T00:00:00"/>
    <x v="5"/>
    <s v="2022"/>
    <x v="2"/>
    <s v="$6,944 "/>
    <n v="27"/>
  </r>
  <r>
    <x v="14"/>
    <x v="5"/>
    <x v="18"/>
    <d v="2022-08-18T00:00:00"/>
    <x v="1"/>
    <s v="2022"/>
    <x v="2"/>
    <s v="$5,859 "/>
    <n v="7"/>
  </r>
  <r>
    <x v="16"/>
    <x v="1"/>
    <x v="21"/>
    <d v="2022-01-24T00:00:00"/>
    <x v="0"/>
    <s v="2022"/>
    <x v="1"/>
    <s v="$12,173 "/>
    <n v="301"/>
  </r>
  <r>
    <x v="12"/>
    <x v="4"/>
    <x v="14"/>
    <d v="2022-03-11T00:00:00"/>
    <x v="6"/>
    <s v="2022"/>
    <x v="4"/>
    <s v="$5,292 "/>
    <n v="134"/>
  </r>
  <r>
    <x v="24"/>
    <x v="3"/>
    <x v="5"/>
    <d v="2022-06-23T00:00:00"/>
    <x v="5"/>
    <s v="2022"/>
    <x v="2"/>
    <s v="$5,705 "/>
    <n v="350"/>
  </r>
  <r>
    <x v="15"/>
    <x v="1"/>
    <x v="12"/>
    <d v="2022-08-22T00:00:00"/>
    <x v="1"/>
    <s v="2022"/>
    <x v="1"/>
    <s v="$2,492 "/>
    <n v="33"/>
  </r>
  <r>
    <x v="5"/>
    <x v="5"/>
    <x v="6"/>
    <d v="2022-01-04T00:00:00"/>
    <x v="0"/>
    <s v="2022"/>
    <x v="0"/>
    <s v="$3,024 "/>
    <n v="23"/>
  </r>
  <r>
    <x v="14"/>
    <x v="1"/>
    <x v="11"/>
    <d v="2022-04-05T00:00:00"/>
    <x v="3"/>
    <s v="2022"/>
    <x v="0"/>
    <s v="$3,437 "/>
    <n v="201"/>
  </r>
  <r>
    <x v="12"/>
    <x v="1"/>
    <x v="11"/>
    <d v="2022-04-15T00:00:00"/>
    <x v="3"/>
    <s v="2022"/>
    <x v="4"/>
    <s v="$1,869 "/>
    <n v="323"/>
  </r>
  <r>
    <x v="15"/>
    <x v="2"/>
    <x v="14"/>
    <d v="2022-05-11T00:00:00"/>
    <x v="7"/>
    <s v="2022"/>
    <x v="3"/>
    <s v="$3,171 "/>
    <n v="220"/>
  </r>
  <r>
    <x v="19"/>
    <x v="5"/>
    <x v="15"/>
    <d v="2022-07-21T00:00:00"/>
    <x v="2"/>
    <s v="2022"/>
    <x v="2"/>
    <s v="$4,858 "/>
    <n v="488"/>
  </r>
  <r>
    <x v="3"/>
    <x v="3"/>
    <x v="7"/>
    <d v="2022-02-11T00:00:00"/>
    <x v="4"/>
    <s v="2022"/>
    <x v="4"/>
    <s v="$1,225 "/>
    <n v="84"/>
  </r>
  <r>
    <x v="19"/>
    <x v="5"/>
    <x v="3"/>
    <d v="2022-07-08T00:00:00"/>
    <x v="2"/>
    <s v="2022"/>
    <x v="4"/>
    <s v="$1,155 "/>
    <n v="79"/>
  </r>
  <r>
    <x v="5"/>
    <x v="0"/>
    <x v="17"/>
    <d v="2022-08-11T00:00:00"/>
    <x v="1"/>
    <s v="2022"/>
    <x v="2"/>
    <s v="$6,811 "/>
    <n v="344"/>
  </r>
  <r>
    <x v="15"/>
    <x v="3"/>
    <x v="5"/>
    <d v="2022-08-04T00:00:00"/>
    <x v="1"/>
    <s v="2022"/>
    <x v="2"/>
    <s v="$6,433 "/>
    <n v="7"/>
  </r>
  <r>
    <x v="19"/>
    <x v="3"/>
    <x v="7"/>
    <d v="2022-06-14T00:00:00"/>
    <x v="5"/>
    <s v="2022"/>
    <x v="0"/>
    <s v="$8,169 "/>
    <n v="88"/>
  </r>
  <r>
    <x v="17"/>
    <x v="0"/>
    <x v="19"/>
    <d v="2022-01-17T00:00:00"/>
    <x v="0"/>
    <s v="2022"/>
    <x v="1"/>
    <s v="$2,275 "/>
    <n v="275"/>
  </r>
  <r>
    <x v="0"/>
    <x v="5"/>
    <x v="7"/>
    <d v="2022-06-23T00:00:00"/>
    <x v="5"/>
    <s v="2022"/>
    <x v="2"/>
    <s v="$3,857 "/>
    <n v="512"/>
  </r>
  <r>
    <x v="0"/>
    <x v="0"/>
    <x v="3"/>
    <d v="2022-08-24T00:00:00"/>
    <x v="1"/>
    <s v="2022"/>
    <x v="3"/>
    <s v="$1,463 "/>
    <n v="113"/>
  </r>
  <r>
    <x v="19"/>
    <x v="0"/>
    <x v="20"/>
    <d v="2022-06-07T00:00:00"/>
    <x v="5"/>
    <s v="2022"/>
    <x v="0"/>
    <s v="$7,924 "/>
    <n v="275"/>
  </r>
  <r>
    <x v="3"/>
    <x v="0"/>
    <x v="14"/>
    <d v="2022-06-22T00:00:00"/>
    <x v="5"/>
    <s v="2022"/>
    <x v="3"/>
    <s v="$8,799 "/>
    <n v="47"/>
  </r>
  <r>
    <x v="23"/>
    <x v="4"/>
    <x v="13"/>
    <d v="2022-07-13T00:00:00"/>
    <x v="2"/>
    <s v="2022"/>
    <x v="3"/>
    <s v="$2,898 "/>
    <n v="276"/>
  </r>
  <r>
    <x v="20"/>
    <x v="0"/>
    <x v="18"/>
    <d v="2022-05-24T00:00:00"/>
    <x v="7"/>
    <s v="2022"/>
    <x v="0"/>
    <s v="$9,506 "/>
    <n v="212"/>
  </r>
  <r>
    <x v="5"/>
    <x v="3"/>
    <x v="5"/>
    <d v="2022-08-09T00:00:00"/>
    <x v="1"/>
    <s v="2022"/>
    <x v="0"/>
    <s v="$7,175 "/>
    <n v="145"/>
  </r>
  <r>
    <x v="16"/>
    <x v="5"/>
    <x v="1"/>
    <d v="2022-04-06T00:00:00"/>
    <x v="3"/>
    <s v="2022"/>
    <x v="3"/>
    <s v="$1,729 "/>
    <n v="31"/>
  </r>
  <r>
    <x v="3"/>
    <x v="3"/>
    <x v="15"/>
    <d v="2022-07-28T00:00:00"/>
    <x v="2"/>
    <s v="2022"/>
    <x v="2"/>
    <s v="$1,589 "/>
    <n v="271"/>
  </r>
  <r>
    <x v="5"/>
    <x v="3"/>
    <x v="17"/>
    <d v="2022-08-24T00:00:00"/>
    <x v="1"/>
    <s v="2022"/>
    <x v="3"/>
    <s v="$630 "/>
    <n v="52"/>
  </r>
  <r>
    <x v="1"/>
    <x v="2"/>
    <x v="4"/>
    <d v="2022-01-17T00:00:00"/>
    <x v="0"/>
    <s v="2022"/>
    <x v="1"/>
    <s v="$112 "/>
    <n v="128"/>
  </r>
  <r>
    <x v="14"/>
    <x v="4"/>
    <x v="9"/>
    <d v="2022-02-07T00:00:00"/>
    <x v="4"/>
    <s v="2022"/>
    <x v="1"/>
    <s v="$5,187 "/>
    <n v="142"/>
  </r>
  <r>
    <x v="6"/>
    <x v="2"/>
    <x v="12"/>
    <d v="2022-05-09T00:00:00"/>
    <x v="7"/>
    <s v="2022"/>
    <x v="1"/>
    <s v="$6,223 "/>
    <n v="256"/>
  </r>
  <r>
    <x v="9"/>
    <x v="3"/>
    <x v="1"/>
    <d v="2022-06-06T00:00:00"/>
    <x v="5"/>
    <s v="2022"/>
    <x v="1"/>
    <s v="$7,714 "/>
    <n v="106"/>
  </r>
  <r>
    <x v="18"/>
    <x v="4"/>
    <x v="18"/>
    <d v="2022-06-06T00:00:00"/>
    <x v="5"/>
    <s v="2022"/>
    <x v="1"/>
    <s v="$9,457 "/>
    <n v="6"/>
  </r>
  <r>
    <x v="12"/>
    <x v="3"/>
    <x v="10"/>
    <d v="2022-05-24T00:00:00"/>
    <x v="7"/>
    <s v="2022"/>
    <x v="0"/>
    <s v="$6,678 "/>
    <n v="226"/>
  </r>
  <r>
    <x v="5"/>
    <x v="0"/>
    <x v="6"/>
    <d v="2022-01-13T00:00:00"/>
    <x v="0"/>
    <s v="2022"/>
    <x v="2"/>
    <s v="$2,107 "/>
    <n v="121"/>
  </r>
  <r>
    <x v="11"/>
    <x v="4"/>
    <x v="17"/>
    <d v="2022-05-23T00:00:00"/>
    <x v="7"/>
    <s v="2022"/>
    <x v="1"/>
    <s v="$6,069 "/>
    <n v="151"/>
  </r>
  <r>
    <x v="0"/>
    <x v="0"/>
    <x v="14"/>
    <d v="2022-06-29T00:00:00"/>
    <x v="5"/>
    <s v="2022"/>
    <x v="3"/>
    <s v="$1,862 "/>
    <n v="284"/>
  </r>
  <r>
    <x v="0"/>
    <x v="3"/>
    <x v="1"/>
    <d v="2022-03-11T00:00:00"/>
    <x v="6"/>
    <s v="2022"/>
    <x v="4"/>
    <s v="$6,972 "/>
    <n v="89"/>
  </r>
  <r>
    <x v="23"/>
    <x v="4"/>
    <x v="1"/>
    <d v="2022-04-25T00:00:00"/>
    <x v="3"/>
    <s v="2022"/>
    <x v="1"/>
    <s v="$10,220 "/>
    <n v="508"/>
  </r>
  <r>
    <x v="7"/>
    <x v="2"/>
    <x v="3"/>
    <d v="2022-05-30T00:00:00"/>
    <x v="7"/>
    <s v="2022"/>
    <x v="1"/>
    <s v="$3,969 "/>
    <n v="243"/>
  </r>
  <r>
    <x v="14"/>
    <x v="1"/>
    <x v="15"/>
    <d v="2022-05-23T00:00:00"/>
    <x v="7"/>
    <s v="2022"/>
    <x v="1"/>
    <s v="$1,547 "/>
    <n v="170"/>
  </r>
  <r>
    <x v="9"/>
    <x v="4"/>
    <x v="2"/>
    <d v="2022-05-23T00:00:00"/>
    <x v="7"/>
    <s v="2022"/>
    <x v="1"/>
    <s v="$1,162 "/>
    <n v="18"/>
  </r>
  <r>
    <x v="1"/>
    <x v="5"/>
    <x v="2"/>
    <d v="2022-06-24T00:00:00"/>
    <x v="5"/>
    <s v="2022"/>
    <x v="4"/>
    <s v="$6,342 "/>
    <n v="282"/>
  </r>
  <r>
    <x v="20"/>
    <x v="3"/>
    <x v="3"/>
    <d v="2022-03-11T00:00:00"/>
    <x v="6"/>
    <s v="2022"/>
    <x v="4"/>
    <s v="$10,633 "/>
    <n v="277"/>
  </r>
  <r>
    <x v="7"/>
    <x v="4"/>
    <x v="3"/>
    <d v="2022-07-27T00:00:00"/>
    <x v="2"/>
    <s v="2022"/>
    <x v="3"/>
    <s v="$15,057 "/>
    <n v="212"/>
  </r>
  <r>
    <x v="7"/>
    <x v="4"/>
    <x v="14"/>
    <d v="2022-08-16T00:00:00"/>
    <x v="1"/>
    <s v="2022"/>
    <x v="0"/>
    <s v="$4,704 "/>
    <n v="126"/>
  </r>
  <r>
    <x v="13"/>
    <x v="5"/>
    <x v="3"/>
    <d v="2022-03-07T00:00:00"/>
    <x v="6"/>
    <s v="2022"/>
    <x v="1"/>
    <s v="$9,338 "/>
    <n v="11"/>
  </r>
  <r>
    <x v="14"/>
    <x v="3"/>
    <x v="5"/>
    <d v="2022-04-05T00:00:00"/>
    <x v="3"/>
    <s v="2022"/>
    <x v="0"/>
    <s v="$7,959 "/>
    <n v="30"/>
  </r>
  <r>
    <x v="21"/>
    <x v="1"/>
    <x v="1"/>
    <d v="2022-05-04T00:00:00"/>
    <x v="7"/>
    <s v="2022"/>
    <x v="3"/>
    <s v="$9,023 "/>
    <n v="51"/>
  </r>
  <r>
    <x v="24"/>
    <x v="4"/>
    <x v="18"/>
    <d v="2022-01-04T00:00:00"/>
    <x v="0"/>
    <s v="2022"/>
    <x v="0"/>
    <s v="$14,525 "/>
    <n v="92"/>
  </r>
  <r>
    <x v="11"/>
    <x v="2"/>
    <x v="19"/>
    <d v="2022-01-13T00:00:00"/>
    <x v="0"/>
    <s v="2022"/>
    <x v="2"/>
    <s v="$5,810 "/>
    <n v="101"/>
  </r>
  <r>
    <x v="18"/>
    <x v="3"/>
    <x v="13"/>
    <d v="2022-07-11T00:00:00"/>
    <x v="2"/>
    <s v="2022"/>
    <x v="1"/>
    <s v="$6,426 "/>
    <n v="98"/>
  </r>
  <r>
    <x v="16"/>
    <x v="2"/>
    <x v="0"/>
    <d v="2022-05-17T00:00:00"/>
    <x v="7"/>
    <s v="2022"/>
    <x v="0"/>
    <s v="$4,403 "/>
    <n v="159"/>
  </r>
  <r>
    <x v="21"/>
    <x v="3"/>
    <x v="2"/>
    <d v="2022-07-21T00:00:00"/>
    <x v="2"/>
    <s v="2022"/>
    <x v="2"/>
    <s v="$1,582 "/>
    <n v="62"/>
  </r>
  <r>
    <x v="14"/>
    <x v="5"/>
    <x v="10"/>
    <d v="2022-02-22T00:00:00"/>
    <x v="4"/>
    <s v="2022"/>
    <x v="0"/>
    <s v="$791 "/>
    <n v="22"/>
  </r>
  <r>
    <x v="3"/>
    <x v="1"/>
    <x v="4"/>
    <d v="2022-05-23T00:00:00"/>
    <x v="7"/>
    <s v="2022"/>
    <x v="1"/>
    <s v="$9,100 "/>
    <n v="187"/>
  </r>
  <r>
    <x v="7"/>
    <x v="5"/>
    <x v="9"/>
    <d v="2022-07-12T00:00:00"/>
    <x v="2"/>
    <s v="2022"/>
    <x v="0"/>
    <s v="$9,884 "/>
    <n v="200"/>
  </r>
  <r>
    <x v="3"/>
    <x v="0"/>
    <x v="7"/>
    <d v="2022-06-15T00:00:00"/>
    <x v="5"/>
    <s v="2022"/>
    <x v="3"/>
    <s v="$3,780 "/>
    <n v="201"/>
  </r>
  <r>
    <x v="8"/>
    <x v="3"/>
    <x v="6"/>
    <d v="2022-06-23T00:00:00"/>
    <x v="5"/>
    <s v="2022"/>
    <x v="2"/>
    <s v="$4,557 "/>
    <n v="308"/>
  </r>
  <r>
    <x v="14"/>
    <x v="2"/>
    <x v="8"/>
    <d v="2022-03-25T00:00:00"/>
    <x v="6"/>
    <s v="2022"/>
    <x v="4"/>
    <s v="$5,796 "/>
    <n v="55"/>
  </r>
  <r>
    <x v="3"/>
    <x v="1"/>
    <x v="20"/>
    <d v="2022-07-04T00:00:00"/>
    <x v="2"/>
    <s v="2022"/>
    <x v="1"/>
    <s v="$84 "/>
    <n v="153"/>
  </r>
  <r>
    <x v="19"/>
    <x v="0"/>
    <x v="14"/>
    <d v="2022-05-12T00:00:00"/>
    <x v="7"/>
    <s v="2022"/>
    <x v="2"/>
    <s v="$9,037 "/>
    <n v="101"/>
  </r>
  <r>
    <x v="21"/>
    <x v="3"/>
    <x v="17"/>
    <d v="2022-04-04T00:00:00"/>
    <x v="3"/>
    <s v="2022"/>
    <x v="1"/>
    <s v="$4,746 "/>
    <n v="137"/>
  </r>
  <r>
    <x v="22"/>
    <x v="2"/>
    <x v="7"/>
    <d v="2022-04-15T00:00:00"/>
    <x v="3"/>
    <s v="2022"/>
    <x v="4"/>
    <s v="$6,713 "/>
    <n v="398"/>
  </r>
  <r>
    <x v="13"/>
    <x v="5"/>
    <x v="8"/>
    <d v="2022-03-08T00:00:00"/>
    <x v="6"/>
    <s v="2022"/>
    <x v="0"/>
    <s v="$6,237 "/>
    <n v="88"/>
  </r>
  <r>
    <x v="10"/>
    <x v="1"/>
    <x v="14"/>
    <d v="2022-01-17T00:00:00"/>
    <x v="0"/>
    <s v="2022"/>
    <x v="1"/>
    <s v="$7,483 "/>
    <n v="232"/>
  </r>
  <r>
    <x v="18"/>
    <x v="1"/>
    <x v="0"/>
    <d v="2022-08-22T00:00:00"/>
    <x v="1"/>
    <s v="2022"/>
    <x v="1"/>
    <s v="$1,309 "/>
    <n v="51"/>
  </r>
  <r>
    <x v="19"/>
    <x v="0"/>
    <x v="4"/>
    <d v="2022-07-25T00:00:00"/>
    <x v="2"/>
    <s v="2022"/>
    <x v="1"/>
    <s v="$1,155 "/>
    <n v="66"/>
  </r>
  <r>
    <x v="11"/>
    <x v="0"/>
    <x v="6"/>
    <d v="2022-06-14T00:00:00"/>
    <x v="5"/>
    <s v="2022"/>
    <x v="0"/>
    <s v="$2,989 "/>
    <n v="124"/>
  </r>
  <r>
    <x v="24"/>
    <x v="1"/>
    <x v="18"/>
    <d v="2022-04-05T00:00:00"/>
    <x v="3"/>
    <s v="2022"/>
    <x v="0"/>
    <s v="$9,625 "/>
    <n v="78"/>
  </r>
  <r>
    <x v="22"/>
    <x v="0"/>
    <x v="17"/>
    <d v="2022-08-26T00:00:00"/>
    <x v="1"/>
    <s v="2022"/>
    <x v="4"/>
    <s v="$7,357 "/>
    <n v="341"/>
  </r>
  <r>
    <x v="18"/>
    <x v="2"/>
    <x v="6"/>
    <d v="2022-08-03T00:00:00"/>
    <x v="1"/>
    <s v="2022"/>
    <x v="3"/>
    <s v="$10,031 "/>
    <n v="114"/>
  </r>
  <r>
    <x v="2"/>
    <x v="5"/>
    <x v="14"/>
    <d v="2022-07-11T00:00:00"/>
    <x v="2"/>
    <s v="2022"/>
    <x v="1"/>
    <s v="$6,587 "/>
    <n v="4"/>
  </r>
  <r>
    <x v="18"/>
    <x v="3"/>
    <x v="8"/>
    <d v="2022-03-11T00:00:00"/>
    <x v="6"/>
    <s v="2022"/>
    <x v="4"/>
    <s v="$3,311 "/>
    <n v="22"/>
  </r>
  <r>
    <x v="6"/>
    <x v="0"/>
    <x v="2"/>
    <d v="2022-01-10T00:00:00"/>
    <x v="0"/>
    <s v="2022"/>
    <x v="1"/>
    <s v="$15,330 "/>
    <n v="30"/>
  </r>
  <r>
    <x v="13"/>
    <x v="0"/>
    <x v="19"/>
    <d v="2022-04-04T00:00:00"/>
    <x v="3"/>
    <s v="2022"/>
    <x v="1"/>
    <s v="$14,028 "/>
    <n v="351"/>
  </r>
  <r>
    <x v="10"/>
    <x v="2"/>
    <x v="6"/>
    <d v="2022-01-17T00:00:00"/>
    <x v="0"/>
    <s v="2022"/>
    <x v="1"/>
    <s v="$6,678 "/>
    <n v="708"/>
  </r>
  <r>
    <x v="11"/>
    <x v="3"/>
    <x v="10"/>
    <d v="2022-07-08T00:00:00"/>
    <x v="2"/>
    <s v="2022"/>
    <x v="4"/>
    <s v="$8,624 "/>
    <n v="50"/>
  </r>
  <r>
    <x v="3"/>
    <x v="0"/>
    <x v="10"/>
    <d v="2022-04-12T00:00:00"/>
    <x v="3"/>
    <s v="2022"/>
    <x v="0"/>
    <s v="$1,197 "/>
    <n v="356"/>
  </r>
  <r>
    <x v="7"/>
    <x v="5"/>
    <x v="13"/>
    <d v="2022-08-24T00:00:00"/>
    <x v="1"/>
    <s v="2022"/>
    <x v="3"/>
    <s v="$483 "/>
    <n v="185"/>
  </r>
  <r>
    <x v="24"/>
    <x v="0"/>
    <x v="18"/>
    <d v="2022-06-07T00:00:00"/>
    <x v="5"/>
    <s v="2022"/>
    <x v="0"/>
    <s v="$1,687 "/>
    <n v="236"/>
  </r>
  <r>
    <x v="5"/>
    <x v="5"/>
    <x v="16"/>
    <d v="2022-07-28T00:00:00"/>
    <x v="2"/>
    <s v="2022"/>
    <x v="2"/>
    <s v="$1,309 "/>
    <n v="30"/>
  </r>
  <r>
    <x v="15"/>
    <x v="4"/>
    <x v="4"/>
    <d v="2022-02-21T00:00:00"/>
    <x v="4"/>
    <s v="2022"/>
    <x v="1"/>
    <s v="$9,534 "/>
    <n v="111"/>
  </r>
  <r>
    <x v="17"/>
    <x v="5"/>
    <x v="0"/>
    <d v="2022-04-08T00:00:00"/>
    <x v="3"/>
    <s v="2022"/>
    <x v="4"/>
    <s v="$1,694 "/>
    <n v="289"/>
  </r>
  <r>
    <x v="6"/>
    <x v="0"/>
    <x v="15"/>
    <d v="2022-06-28T00:00:00"/>
    <x v="5"/>
    <s v="2022"/>
    <x v="0"/>
    <s v="$70 "/>
    <n v="103"/>
  </r>
  <r>
    <x v="1"/>
    <x v="0"/>
    <x v="19"/>
    <d v="2022-03-24T00:00:00"/>
    <x v="6"/>
    <s v="2022"/>
    <x v="2"/>
    <s v="$2,443 "/>
    <n v="20"/>
  </r>
  <r>
    <x v="8"/>
    <x v="2"/>
    <x v="20"/>
    <d v="2022-07-29T00:00:00"/>
    <x v="2"/>
    <s v="2022"/>
    <x v="4"/>
    <s v="$2,933 "/>
    <n v="55"/>
  </r>
  <r>
    <x v="17"/>
    <x v="4"/>
    <x v="8"/>
    <d v="2022-05-25T00:00:00"/>
    <x v="7"/>
    <s v="2022"/>
    <x v="3"/>
    <s v="$2,044 "/>
    <n v="90"/>
  </r>
  <r>
    <x v="2"/>
    <x v="2"/>
    <x v="17"/>
    <d v="2022-03-30T00:00:00"/>
    <x v="6"/>
    <s v="2022"/>
    <x v="3"/>
    <s v="$6,524 "/>
    <n v="303"/>
  </r>
  <r>
    <x v="17"/>
    <x v="4"/>
    <x v="10"/>
    <d v="2022-07-18T00:00:00"/>
    <x v="2"/>
    <s v="2022"/>
    <x v="1"/>
    <s v="$12,656 "/>
    <n v="126"/>
  </r>
  <r>
    <x v="12"/>
    <x v="5"/>
    <x v="7"/>
    <d v="2022-05-10T00:00:00"/>
    <x v="7"/>
    <s v="2022"/>
    <x v="0"/>
    <s v="$8,722 "/>
    <n v="109"/>
  </r>
  <r>
    <x v="9"/>
    <x v="2"/>
    <x v="18"/>
    <d v="2022-03-18T00:00:00"/>
    <x v="6"/>
    <s v="2022"/>
    <x v="4"/>
    <s v="$15,750 "/>
    <n v="92"/>
  </r>
  <r>
    <x v="24"/>
    <x v="1"/>
    <x v="20"/>
    <d v="2022-06-15T00:00:00"/>
    <x v="5"/>
    <s v="2022"/>
    <x v="3"/>
    <s v="$6,839 "/>
    <n v="56"/>
  </r>
  <r>
    <x v="1"/>
    <x v="5"/>
    <x v="6"/>
    <d v="2022-05-12T00:00:00"/>
    <x v="7"/>
    <s v="2022"/>
    <x v="2"/>
    <s v="$13,685 "/>
    <n v="58"/>
  </r>
  <r>
    <x v="20"/>
    <x v="3"/>
    <x v="19"/>
    <d v="2022-06-23T00:00:00"/>
    <x v="5"/>
    <s v="2022"/>
    <x v="2"/>
    <s v="$2,912 "/>
    <n v="110"/>
  </r>
  <r>
    <x v="12"/>
    <x v="1"/>
    <x v="12"/>
    <d v="2022-04-21T00:00:00"/>
    <x v="3"/>
    <s v="2022"/>
    <x v="2"/>
    <s v="$3,339 "/>
    <n v="171"/>
  </r>
  <r>
    <x v="2"/>
    <x v="2"/>
    <x v="16"/>
    <d v="2022-08-17T00:00:00"/>
    <x v="1"/>
    <s v="2022"/>
    <x v="3"/>
    <s v="$910 "/>
    <n v="117"/>
  </r>
  <r>
    <x v="7"/>
    <x v="3"/>
    <x v="8"/>
    <d v="2022-02-07T00:00:00"/>
    <x v="4"/>
    <s v="2022"/>
    <x v="1"/>
    <s v="$19,481 "/>
    <n v="51"/>
  </r>
  <r>
    <x v="20"/>
    <x v="5"/>
    <x v="3"/>
    <d v="2022-03-17T00:00:00"/>
    <x v="6"/>
    <s v="2022"/>
    <x v="2"/>
    <s v="$8,099 "/>
    <n v="118"/>
  </r>
  <r>
    <x v="3"/>
    <x v="1"/>
    <x v="19"/>
    <d v="2022-08-01T00:00:00"/>
    <x v="1"/>
    <s v="2022"/>
    <x v="1"/>
    <s v="$13,727 "/>
    <n v="79"/>
  </r>
  <r>
    <x v="0"/>
    <x v="2"/>
    <x v="11"/>
    <d v="2022-03-18T00:00:00"/>
    <x v="6"/>
    <s v="2022"/>
    <x v="4"/>
    <s v="$8,659 "/>
    <n v="29"/>
  </r>
  <r>
    <x v="2"/>
    <x v="5"/>
    <x v="13"/>
    <d v="2022-06-14T00:00:00"/>
    <x v="5"/>
    <s v="2022"/>
    <x v="0"/>
    <s v="$5,782 "/>
    <n v="103"/>
  </r>
  <r>
    <x v="12"/>
    <x v="0"/>
    <x v="8"/>
    <d v="2022-04-22T00:00:00"/>
    <x v="3"/>
    <s v="2022"/>
    <x v="4"/>
    <s v="$8,463 "/>
    <n v="155"/>
  </r>
  <r>
    <x v="11"/>
    <x v="3"/>
    <x v="8"/>
    <d v="2022-01-18T00:00:00"/>
    <x v="0"/>
    <s v="2022"/>
    <x v="0"/>
    <s v="$4,914 "/>
    <n v="31"/>
  </r>
  <r>
    <x v="15"/>
    <x v="2"/>
    <x v="4"/>
    <d v="2022-08-26T00:00:00"/>
    <x v="1"/>
    <s v="2022"/>
    <x v="4"/>
    <s v="$3,087 "/>
    <n v="128"/>
  </r>
  <r>
    <x v="5"/>
    <x v="3"/>
    <x v="13"/>
    <d v="2022-06-10T00:00:00"/>
    <x v="5"/>
    <s v="2022"/>
    <x v="4"/>
    <s v="$9,205 "/>
    <n v="419"/>
  </r>
  <r>
    <x v="14"/>
    <x v="5"/>
    <x v="21"/>
    <d v="2022-01-31T00:00:00"/>
    <x v="0"/>
    <s v="2022"/>
    <x v="1"/>
    <s v="$2,303 "/>
    <n v="7"/>
  </r>
  <r>
    <x v="20"/>
    <x v="3"/>
    <x v="15"/>
    <d v="2022-04-08T00:00:00"/>
    <x v="3"/>
    <s v="2022"/>
    <x v="4"/>
    <s v="$1,358 "/>
    <n v="106"/>
  </r>
  <r>
    <x v="23"/>
    <x v="2"/>
    <x v="19"/>
    <d v="2022-06-07T00:00:00"/>
    <x v="5"/>
    <s v="2022"/>
    <x v="0"/>
    <s v="$3,605 "/>
    <n v="68"/>
  </r>
  <r>
    <x v="8"/>
    <x v="2"/>
    <x v="1"/>
    <d v="2022-02-10T00:00:00"/>
    <x v="4"/>
    <s v="2022"/>
    <x v="2"/>
    <s v="$8,498 "/>
    <n v="44"/>
  </r>
  <r>
    <x v="12"/>
    <x v="2"/>
    <x v="6"/>
    <d v="2022-05-16T00:00:00"/>
    <x v="7"/>
    <s v="2022"/>
    <x v="1"/>
    <s v="$700 "/>
    <n v="457"/>
  </r>
  <r>
    <x v="5"/>
    <x v="1"/>
    <x v="19"/>
    <d v="2022-03-18T00:00:00"/>
    <x v="6"/>
    <s v="2022"/>
    <x v="4"/>
    <s v="$2,191 "/>
    <n v="524"/>
  </r>
  <r>
    <x v="1"/>
    <x v="2"/>
    <x v="6"/>
    <d v="2022-07-13T00:00:00"/>
    <x v="2"/>
    <s v="2022"/>
    <x v="3"/>
    <s v="$644 "/>
    <n v="137"/>
  </r>
  <r>
    <x v="4"/>
    <x v="4"/>
    <x v="15"/>
    <d v="2022-07-25T00:00:00"/>
    <x v="2"/>
    <s v="2022"/>
    <x v="1"/>
    <s v="$4,340 "/>
    <n v="86"/>
  </r>
  <r>
    <x v="1"/>
    <x v="5"/>
    <x v="18"/>
    <d v="2022-08-19T00:00:00"/>
    <x v="1"/>
    <s v="2022"/>
    <x v="4"/>
    <s v="$2,282 "/>
    <n v="296"/>
  </r>
  <r>
    <x v="10"/>
    <x v="5"/>
    <x v="21"/>
    <d v="2022-06-24T00:00:00"/>
    <x v="5"/>
    <s v="2022"/>
    <x v="4"/>
    <s v="$7,714 "/>
    <n v="597"/>
  </r>
  <r>
    <x v="20"/>
    <x v="5"/>
    <x v="13"/>
    <d v="2022-06-20T00:00:00"/>
    <x v="5"/>
    <s v="2022"/>
    <x v="1"/>
    <s v="$826 "/>
    <n v="149"/>
  </r>
  <r>
    <x v="21"/>
    <x v="1"/>
    <x v="4"/>
    <d v="2022-08-02T00:00:00"/>
    <x v="1"/>
    <s v="2022"/>
    <x v="0"/>
    <s v="$203 "/>
    <n v="207"/>
  </r>
  <r>
    <x v="22"/>
    <x v="3"/>
    <x v="21"/>
    <d v="2022-02-22T00:00:00"/>
    <x v="4"/>
    <s v="2022"/>
    <x v="0"/>
    <s v="$13,356 "/>
    <n v="93"/>
  </r>
  <r>
    <x v="9"/>
    <x v="3"/>
    <x v="7"/>
    <d v="2022-02-01T00:00:00"/>
    <x v="4"/>
    <s v="2022"/>
    <x v="0"/>
    <s v="$6,510 "/>
    <n v="23"/>
  </r>
  <r>
    <x v="3"/>
    <x v="5"/>
    <x v="21"/>
    <d v="2022-02-14T00:00:00"/>
    <x v="4"/>
    <s v="2022"/>
    <x v="1"/>
    <s v="$5,894 "/>
    <n v="305"/>
  </r>
  <r>
    <x v="20"/>
    <x v="2"/>
    <x v="11"/>
    <d v="2022-02-24T00:00:00"/>
    <x v="4"/>
    <s v="2022"/>
    <x v="2"/>
    <s v="$7,910 "/>
    <n v="125"/>
  </r>
  <r>
    <x v="17"/>
    <x v="1"/>
    <x v="7"/>
    <d v="2022-03-18T00:00:00"/>
    <x v="6"/>
    <s v="2022"/>
    <x v="4"/>
    <s v="$784 "/>
    <n v="129"/>
  </r>
  <r>
    <x v="15"/>
    <x v="0"/>
    <x v="8"/>
    <d v="2022-08-30T00:00:00"/>
    <x v="1"/>
    <s v="2022"/>
    <x v="0"/>
    <s v="$1,750 "/>
    <n v="252"/>
  </r>
  <r>
    <x v="2"/>
    <x v="4"/>
    <x v="2"/>
    <d v="2022-05-09T00:00:00"/>
    <x v="7"/>
    <s v="2022"/>
    <x v="1"/>
    <s v="$280 "/>
    <n v="75"/>
  </r>
  <r>
    <x v="18"/>
    <x v="4"/>
    <x v="3"/>
    <d v="2022-01-18T00:00:00"/>
    <x v="0"/>
    <s v="2022"/>
    <x v="0"/>
    <s v="$504 "/>
    <n v="87"/>
  </r>
  <r>
    <x v="14"/>
    <x v="1"/>
    <x v="14"/>
    <d v="2022-07-04T00:00:00"/>
    <x v="2"/>
    <s v="2022"/>
    <x v="1"/>
    <s v="$7,154 "/>
    <n v="342"/>
  </r>
  <r>
    <x v="4"/>
    <x v="3"/>
    <x v="12"/>
    <d v="2022-06-03T00:00:00"/>
    <x v="5"/>
    <s v="2022"/>
    <x v="4"/>
    <s v="$1,617 "/>
    <n v="13"/>
  </r>
  <r>
    <x v="12"/>
    <x v="3"/>
    <x v="2"/>
    <d v="2022-02-23T00:00:00"/>
    <x v="4"/>
    <s v="2022"/>
    <x v="3"/>
    <s v="$10,822 "/>
    <n v="30"/>
  </r>
  <r>
    <x v="23"/>
    <x v="3"/>
    <x v="4"/>
    <d v="2022-05-09T00:00:00"/>
    <x v="7"/>
    <s v="2022"/>
    <x v="1"/>
    <s v="$10,724 "/>
    <n v="203"/>
  </r>
  <r>
    <x v="20"/>
    <x v="1"/>
    <x v="21"/>
    <d v="2022-06-06T00:00:00"/>
    <x v="5"/>
    <s v="2022"/>
    <x v="1"/>
    <s v="$3,640 "/>
    <n v="106"/>
  </r>
  <r>
    <x v="20"/>
    <x v="1"/>
    <x v="9"/>
    <d v="2022-07-04T00:00:00"/>
    <x v="2"/>
    <s v="2022"/>
    <x v="1"/>
    <s v="$7,532 "/>
    <n v="234"/>
  </r>
  <r>
    <x v="6"/>
    <x v="3"/>
    <x v="9"/>
    <d v="2022-06-06T00:00:00"/>
    <x v="5"/>
    <s v="2022"/>
    <x v="1"/>
    <s v="$1,582 "/>
    <n v="100"/>
  </r>
  <r>
    <x v="23"/>
    <x v="2"/>
    <x v="16"/>
    <d v="2022-05-13T00:00:00"/>
    <x v="7"/>
    <s v="2022"/>
    <x v="4"/>
    <s v="$1,456 "/>
    <n v="91"/>
  </r>
  <r>
    <x v="18"/>
    <x v="3"/>
    <x v="10"/>
    <d v="2022-01-31T00:00:00"/>
    <x v="0"/>
    <s v="2022"/>
    <x v="1"/>
    <s v="$2,016 "/>
    <n v="277"/>
  </r>
  <r>
    <x v="24"/>
    <x v="3"/>
    <x v="20"/>
    <d v="2022-06-30T00:00:00"/>
    <x v="5"/>
    <s v="2022"/>
    <x v="2"/>
    <s v="$7,588 "/>
    <n v="42"/>
  </r>
  <r>
    <x v="8"/>
    <x v="5"/>
    <x v="15"/>
    <d v="2022-08-25T00:00:00"/>
    <x v="1"/>
    <s v="2022"/>
    <x v="2"/>
    <s v="$3,402 "/>
    <n v="249"/>
  </r>
  <r>
    <x v="2"/>
    <x v="3"/>
    <x v="3"/>
    <d v="2022-01-10T00:00:00"/>
    <x v="0"/>
    <s v="2022"/>
    <x v="1"/>
    <s v="$700 "/>
    <n v="97"/>
  </r>
  <r>
    <x v="6"/>
    <x v="4"/>
    <x v="15"/>
    <d v="2022-08-22T00:00:00"/>
    <x v="1"/>
    <s v="2022"/>
    <x v="1"/>
    <s v="$1,904 "/>
    <n v="8"/>
  </r>
  <r>
    <x v="13"/>
    <x v="3"/>
    <x v="1"/>
    <d v="2022-04-14T00:00:00"/>
    <x v="3"/>
    <s v="2022"/>
    <x v="2"/>
    <s v="$4,844 "/>
    <n v="275"/>
  </r>
  <r>
    <x v="4"/>
    <x v="0"/>
    <x v="3"/>
    <d v="2022-05-31T00:00:00"/>
    <x v="7"/>
    <s v="2022"/>
    <x v="0"/>
    <s v="$9,625 "/>
    <n v="313"/>
  </r>
  <r>
    <x v="4"/>
    <x v="0"/>
    <x v="17"/>
    <d v="2022-04-08T00:00:00"/>
    <x v="3"/>
    <s v="2022"/>
    <x v="4"/>
    <s v="$4,599 "/>
    <n v="323"/>
  </r>
  <r>
    <x v="13"/>
    <x v="4"/>
    <x v="9"/>
    <d v="2022-02-21T00:00:00"/>
    <x v="4"/>
    <s v="2022"/>
    <x v="1"/>
    <s v="$3,003 "/>
    <n v="155"/>
  </r>
  <r>
    <x v="19"/>
    <x v="2"/>
    <x v="15"/>
    <d v="2022-03-30T00:00:00"/>
    <x v="6"/>
    <s v="2022"/>
    <x v="3"/>
    <s v="$9,744 "/>
    <n v="377"/>
  </r>
  <r>
    <x v="9"/>
    <x v="1"/>
    <x v="17"/>
    <d v="2022-03-02T00:00:00"/>
    <x v="6"/>
    <s v="2022"/>
    <x v="3"/>
    <s v="$1,400 "/>
    <n v="2"/>
  </r>
  <r>
    <x v="0"/>
    <x v="4"/>
    <x v="7"/>
    <d v="2022-07-28T00:00:00"/>
    <x v="2"/>
    <s v="2022"/>
    <x v="2"/>
    <s v="$364 "/>
    <n v="170"/>
  </r>
  <r>
    <x v="16"/>
    <x v="3"/>
    <x v="21"/>
    <d v="2022-03-24T00:00:00"/>
    <x v="6"/>
    <s v="2022"/>
    <x v="2"/>
    <s v="$7,231 "/>
    <n v="38"/>
  </r>
  <r>
    <x v="14"/>
    <x v="2"/>
    <x v="5"/>
    <d v="2022-08-11T00:00:00"/>
    <x v="1"/>
    <s v="2022"/>
    <x v="2"/>
    <s v="$63 "/>
    <n v="105"/>
  </r>
  <r>
    <x v="15"/>
    <x v="0"/>
    <x v="16"/>
    <d v="2022-05-17T00:00:00"/>
    <x v="7"/>
    <s v="2022"/>
    <x v="0"/>
    <s v="$8,309 "/>
    <n v="166"/>
  </r>
  <r>
    <x v="16"/>
    <x v="5"/>
    <x v="18"/>
    <d v="2022-05-18T00:00:00"/>
    <x v="7"/>
    <s v="2022"/>
    <x v="3"/>
    <s v="$3,164 "/>
    <n v="164"/>
  </r>
  <r>
    <x v="13"/>
    <x v="0"/>
    <x v="2"/>
    <d v="2022-08-17T00:00:00"/>
    <x v="1"/>
    <s v="2022"/>
    <x v="3"/>
    <s v="$5,691 "/>
    <n v="171"/>
  </r>
  <r>
    <x v="24"/>
    <x v="3"/>
    <x v="8"/>
    <d v="2022-04-04T00:00:00"/>
    <x v="3"/>
    <s v="2022"/>
    <x v="1"/>
    <s v="$490 "/>
    <n v="49"/>
  </r>
  <r>
    <x v="6"/>
    <x v="1"/>
    <x v="1"/>
    <d v="2022-08-09T00:00:00"/>
    <x v="1"/>
    <s v="2022"/>
    <x v="0"/>
    <s v="$18,032 "/>
    <n v="205"/>
  </r>
  <r>
    <x v="6"/>
    <x v="3"/>
    <x v="10"/>
    <d v="2022-01-17T00:00:00"/>
    <x v="0"/>
    <s v="2022"/>
    <x v="1"/>
    <s v="$637 "/>
    <n v="313"/>
  </r>
  <r>
    <x v="19"/>
    <x v="5"/>
    <x v="14"/>
    <d v="2022-02-14T00:00:00"/>
    <x v="4"/>
    <s v="2022"/>
    <x v="1"/>
    <s v="$4,067 "/>
    <n v="29"/>
  </r>
  <r>
    <x v="2"/>
    <x v="3"/>
    <x v="7"/>
    <d v="2022-05-16T00:00:00"/>
    <x v="7"/>
    <s v="2022"/>
    <x v="1"/>
    <s v="$8,204 "/>
    <n v="307"/>
  </r>
  <r>
    <x v="24"/>
    <x v="5"/>
    <x v="3"/>
    <d v="2022-03-16T00:00:00"/>
    <x v="6"/>
    <s v="2022"/>
    <x v="3"/>
    <s v="$9,870 "/>
    <n v="121"/>
  </r>
  <r>
    <x v="15"/>
    <x v="5"/>
    <x v="21"/>
    <d v="2022-01-31T00:00:00"/>
    <x v="0"/>
    <s v="2022"/>
    <x v="1"/>
    <s v="$5,131 "/>
    <n v="285"/>
  </r>
  <r>
    <x v="8"/>
    <x v="5"/>
    <x v="10"/>
    <d v="2022-03-10T00:00:00"/>
    <x v="6"/>
    <s v="2022"/>
    <x v="2"/>
    <s v="$1,141 "/>
    <n v="205"/>
  </r>
  <r>
    <x v="4"/>
    <x v="0"/>
    <x v="10"/>
    <d v="2022-06-30T00:00:00"/>
    <x v="5"/>
    <s v="2022"/>
    <x v="2"/>
    <s v="$7,980 "/>
    <n v="157"/>
  </r>
  <r>
    <x v="1"/>
    <x v="3"/>
    <x v="8"/>
    <d v="2022-03-01T00:00:00"/>
    <x v="6"/>
    <s v="2022"/>
    <x v="0"/>
    <s v="$5,229 "/>
    <n v="182"/>
  </r>
  <r>
    <x v="9"/>
    <x v="0"/>
    <x v="9"/>
    <d v="2022-05-27T00:00:00"/>
    <x v="7"/>
    <s v="2022"/>
    <x v="4"/>
    <s v="$3,423 "/>
    <n v="100"/>
  </r>
  <r>
    <x v="4"/>
    <x v="0"/>
    <x v="11"/>
    <d v="2022-07-11T00:00:00"/>
    <x v="2"/>
    <s v="2022"/>
    <x v="1"/>
    <s v="$6,468 "/>
    <n v="223"/>
  </r>
  <r>
    <x v="10"/>
    <x v="3"/>
    <x v="0"/>
    <d v="2022-03-02T00:00:00"/>
    <x v="6"/>
    <s v="2022"/>
    <x v="3"/>
    <s v="$4,326 "/>
    <n v="61"/>
  </r>
  <r>
    <x v="0"/>
    <x v="4"/>
    <x v="17"/>
    <d v="2022-03-04T00:00:00"/>
    <x v="6"/>
    <s v="2022"/>
    <x v="4"/>
    <s v="$7,154 "/>
    <n v="133"/>
  </r>
  <r>
    <x v="20"/>
    <x v="0"/>
    <x v="1"/>
    <d v="2022-06-23T00:00:00"/>
    <x v="5"/>
    <s v="2022"/>
    <x v="2"/>
    <s v="$3,997 "/>
    <n v="228"/>
  </r>
  <r>
    <x v="20"/>
    <x v="4"/>
    <x v="16"/>
    <d v="2022-01-27T00:00:00"/>
    <x v="0"/>
    <s v="2022"/>
    <x v="2"/>
    <s v="$5,180 "/>
    <n v="233"/>
  </r>
  <r>
    <x v="11"/>
    <x v="5"/>
    <x v="7"/>
    <d v="2022-01-14T00:00:00"/>
    <x v="0"/>
    <s v="2022"/>
    <x v="4"/>
    <s v="$2,723 "/>
    <n v="425"/>
  </r>
  <r>
    <x v="17"/>
    <x v="1"/>
    <x v="13"/>
    <d v="2022-07-29T00:00:00"/>
    <x v="2"/>
    <s v="2022"/>
    <x v="4"/>
    <s v="$952 "/>
    <n v="24"/>
  </r>
  <r>
    <x v="6"/>
    <x v="5"/>
    <x v="3"/>
    <d v="2022-05-13T00:00:00"/>
    <x v="7"/>
    <s v="2022"/>
    <x v="4"/>
    <s v="$5,691 "/>
    <n v="495"/>
  </r>
  <r>
    <x v="8"/>
    <x v="5"/>
    <x v="19"/>
    <d v="2022-02-03T00:00:00"/>
    <x v="4"/>
    <s v="2022"/>
    <x v="2"/>
    <s v="$10,969 "/>
    <n v="170"/>
  </r>
  <r>
    <x v="6"/>
    <x v="1"/>
    <x v="3"/>
    <d v="2022-05-27T00:00:00"/>
    <x v="7"/>
    <s v="2022"/>
    <x v="4"/>
    <s v="$5,964 "/>
    <n v="26"/>
  </r>
  <r>
    <x v="3"/>
    <x v="2"/>
    <x v="9"/>
    <d v="2022-02-18T00:00:00"/>
    <x v="4"/>
    <s v="2022"/>
    <x v="4"/>
    <s v="$2,821 "/>
    <n v="24"/>
  </r>
  <r>
    <x v="6"/>
    <x v="1"/>
    <x v="12"/>
    <d v="2022-01-28T00:00:00"/>
    <x v="0"/>
    <s v="2022"/>
    <x v="4"/>
    <s v="$1,302 "/>
    <n v="33"/>
  </r>
  <r>
    <x v="1"/>
    <x v="0"/>
    <x v="8"/>
    <d v="2022-06-29T00:00:00"/>
    <x v="5"/>
    <s v="2022"/>
    <x v="3"/>
    <s v="$5,474 "/>
    <n v="109"/>
  </r>
  <r>
    <x v="18"/>
    <x v="1"/>
    <x v="20"/>
    <d v="2022-01-13T00:00:00"/>
    <x v="0"/>
    <s v="2022"/>
    <x v="2"/>
    <s v="$4,179 "/>
    <n v="276"/>
  </r>
  <r>
    <x v="0"/>
    <x v="0"/>
    <x v="5"/>
    <d v="2022-06-27T00:00:00"/>
    <x v="5"/>
    <s v="2022"/>
    <x v="1"/>
    <s v="$1,946 "/>
    <n v="164"/>
  </r>
  <r>
    <x v="8"/>
    <x v="5"/>
    <x v="14"/>
    <d v="2022-03-29T00:00:00"/>
    <x v="6"/>
    <s v="2022"/>
    <x v="0"/>
    <s v="$4,291 "/>
    <n v="1"/>
  </r>
  <r>
    <x v="5"/>
    <x v="1"/>
    <x v="10"/>
    <d v="2022-06-03T00:00:00"/>
    <x v="5"/>
    <s v="2022"/>
    <x v="4"/>
    <s v="$7,196 "/>
    <n v="160"/>
  </r>
  <r>
    <x v="9"/>
    <x v="5"/>
    <x v="3"/>
    <d v="2022-03-21T00:00:00"/>
    <x v="6"/>
    <s v="2022"/>
    <x v="1"/>
    <s v="$1,939 "/>
    <n v="98"/>
  </r>
  <r>
    <x v="9"/>
    <x v="1"/>
    <x v="8"/>
    <d v="2022-04-12T00:00:00"/>
    <x v="3"/>
    <s v="2022"/>
    <x v="0"/>
    <s v="$10,437 "/>
    <n v="46"/>
  </r>
  <r>
    <x v="7"/>
    <x v="2"/>
    <x v="17"/>
    <d v="2022-01-19T00:00:00"/>
    <x v="0"/>
    <s v="2022"/>
    <x v="3"/>
    <s v="$6,916 "/>
    <n v="259"/>
  </r>
  <r>
    <x v="10"/>
    <x v="0"/>
    <x v="6"/>
    <d v="2022-04-06T00:00:00"/>
    <x v="3"/>
    <s v="2022"/>
    <x v="3"/>
    <s v="$3,647 "/>
    <n v="310"/>
  </r>
  <r>
    <x v="16"/>
    <x v="2"/>
    <x v="6"/>
    <d v="2022-08-02T00:00:00"/>
    <x v="1"/>
    <s v="2022"/>
    <x v="0"/>
    <s v="$8,995 "/>
    <n v="78"/>
  </r>
  <r>
    <x v="2"/>
    <x v="2"/>
    <x v="8"/>
    <d v="2022-04-12T00:00:00"/>
    <x v="3"/>
    <s v="2022"/>
    <x v="0"/>
    <s v="$7,252 "/>
    <n v="136"/>
  </r>
  <r>
    <x v="4"/>
    <x v="1"/>
    <x v="9"/>
    <d v="2022-07-21T00:00:00"/>
    <x v="2"/>
    <s v="2022"/>
    <x v="2"/>
    <s v="$16,380 "/>
    <n v="130"/>
  </r>
  <r>
    <x v="1"/>
    <x v="3"/>
    <x v="19"/>
    <d v="2022-03-22T00:00:00"/>
    <x v="6"/>
    <s v="2022"/>
    <x v="0"/>
    <s v="$9,660 "/>
    <n v="24"/>
  </r>
  <r>
    <x v="15"/>
    <x v="1"/>
    <x v="2"/>
    <d v="2022-05-09T00:00:00"/>
    <x v="7"/>
    <s v="2022"/>
    <x v="1"/>
    <s v="$4,522 "/>
    <n v="5"/>
  </r>
  <r>
    <x v="19"/>
    <x v="2"/>
    <x v="19"/>
    <d v="2022-08-09T00:00:00"/>
    <x v="1"/>
    <s v="2022"/>
    <x v="0"/>
    <s v="$329 "/>
    <n v="109"/>
  </r>
  <r>
    <x v="22"/>
    <x v="5"/>
    <x v="18"/>
    <d v="2022-07-20T00:00:00"/>
    <x v="2"/>
    <s v="2022"/>
    <x v="3"/>
    <s v="$3,458 "/>
    <n v="294"/>
  </r>
  <r>
    <x v="6"/>
    <x v="1"/>
    <x v="21"/>
    <d v="2022-04-14T00:00:00"/>
    <x v="3"/>
    <s v="2022"/>
    <x v="2"/>
    <s v="$4,641 "/>
    <n v="413"/>
  </r>
  <r>
    <x v="0"/>
    <x v="5"/>
    <x v="14"/>
    <d v="2022-01-25T00:00:00"/>
    <x v="0"/>
    <s v="2022"/>
    <x v="0"/>
    <s v="$4,627 "/>
    <n v="136"/>
  </r>
  <r>
    <x v="19"/>
    <x v="2"/>
    <x v="16"/>
    <d v="2022-04-25T00:00:00"/>
    <x v="3"/>
    <s v="2022"/>
    <x v="1"/>
    <s v="$3,192 "/>
    <n v="175"/>
  </r>
  <r>
    <x v="23"/>
    <x v="5"/>
    <x v="5"/>
    <d v="2022-01-17T00:00:00"/>
    <x v="0"/>
    <s v="2022"/>
    <x v="1"/>
    <s v="$252 "/>
    <n v="237"/>
  </r>
  <r>
    <x v="10"/>
    <x v="4"/>
    <x v="8"/>
    <d v="2022-08-15T00:00:00"/>
    <x v="1"/>
    <s v="2022"/>
    <x v="1"/>
    <s v="$868 "/>
    <n v="125"/>
  </r>
  <r>
    <x v="10"/>
    <x v="5"/>
    <x v="13"/>
    <d v="2022-06-02T00:00:00"/>
    <x v="5"/>
    <s v="2022"/>
    <x v="2"/>
    <s v="$210 "/>
    <n v="16"/>
  </r>
  <r>
    <x v="5"/>
    <x v="4"/>
    <x v="1"/>
    <d v="2022-06-30T00:00:00"/>
    <x v="5"/>
    <s v="2022"/>
    <x v="2"/>
    <s v="$7,007 "/>
    <n v="135"/>
  </r>
  <r>
    <x v="23"/>
    <x v="3"/>
    <x v="17"/>
    <d v="2022-02-10T00:00:00"/>
    <x v="4"/>
    <s v="2022"/>
    <x v="2"/>
    <s v="$5,845 "/>
    <n v="91"/>
  </r>
  <r>
    <x v="11"/>
    <x v="5"/>
    <x v="20"/>
    <d v="2022-02-23T00:00:00"/>
    <x v="4"/>
    <s v="2022"/>
    <x v="3"/>
    <s v="$1,372 "/>
    <n v="614"/>
  </r>
  <r>
    <x v="17"/>
    <x v="1"/>
    <x v="10"/>
    <d v="2022-01-27T00:00:00"/>
    <x v="0"/>
    <s v="2022"/>
    <x v="2"/>
    <s v="$8,428 "/>
    <n v="216"/>
  </r>
  <r>
    <x v="21"/>
    <x v="0"/>
    <x v="0"/>
    <d v="2022-05-26T00:00:00"/>
    <x v="7"/>
    <s v="2022"/>
    <x v="2"/>
    <s v="$4,977 "/>
    <n v="317"/>
  </r>
  <r>
    <x v="6"/>
    <x v="4"/>
    <x v="21"/>
    <d v="2022-04-14T00:00:00"/>
    <x v="3"/>
    <s v="2022"/>
    <x v="2"/>
    <s v="$1,694 "/>
    <n v="21"/>
  </r>
  <r>
    <x v="22"/>
    <x v="2"/>
    <x v="4"/>
    <d v="2022-08-01T00:00:00"/>
    <x v="1"/>
    <s v="2022"/>
    <x v="1"/>
    <s v="$4,326 "/>
    <n v="154"/>
  </r>
  <r>
    <x v="9"/>
    <x v="2"/>
    <x v="8"/>
    <d v="2022-08-22T00:00:00"/>
    <x v="1"/>
    <s v="2022"/>
    <x v="1"/>
    <s v="$9,527 "/>
    <n v="222"/>
  </r>
  <r>
    <x v="11"/>
    <x v="1"/>
    <x v="4"/>
    <d v="2022-07-22T00:00:00"/>
    <x v="2"/>
    <s v="2022"/>
    <x v="4"/>
    <s v="$10,766 "/>
    <n v="157"/>
  </r>
  <r>
    <x v="15"/>
    <x v="4"/>
    <x v="13"/>
    <d v="2022-04-28T00:00:00"/>
    <x v="3"/>
    <s v="2022"/>
    <x v="2"/>
    <s v="$1,288 "/>
    <n v="27"/>
  </r>
  <r>
    <x v="20"/>
    <x v="2"/>
    <x v="16"/>
    <d v="2022-05-30T00:00:00"/>
    <x v="7"/>
    <s v="2022"/>
    <x v="1"/>
    <s v="$4,879 "/>
    <n v="350"/>
  </r>
  <r>
    <x v="24"/>
    <x v="4"/>
    <x v="11"/>
    <d v="2022-07-21T00:00:00"/>
    <x v="2"/>
    <s v="2022"/>
    <x v="2"/>
    <s v="$2,408 "/>
    <n v="157"/>
  </r>
  <r>
    <x v="3"/>
    <x v="0"/>
    <x v="20"/>
    <d v="2022-08-02T00:00:00"/>
    <x v="1"/>
    <s v="2022"/>
    <x v="0"/>
    <s v="$3,094 "/>
    <n v="468"/>
  </r>
  <r>
    <x v="6"/>
    <x v="3"/>
    <x v="21"/>
    <d v="2022-06-15T00:00:00"/>
    <x v="5"/>
    <s v="2022"/>
    <x v="3"/>
    <s v="$7,231 "/>
    <n v="130"/>
  </r>
  <r>
    <x v="4"/>
    <x v="1"/>
    <x v="1"/>
    <d v="2022-07-05T00:00:00"/>
    <x v="2"/>
    <s v="2022"/>
    <x v="0"/>
    <s v="$8,981 "/>
    <n v="130"/>
  </r>
  <r>
    <x v="16"/>
    <x v="3"/>
    <x v="3"/>
    <d v="2022-04-12T00:00:00"/>
    <x v="3"/>
    <s v="2022"/>
    <x v="0"/>
    <s v="$7 "/>
    <n v="518"/>
  </r>
  <r>
    <x v="2"/>
    <x v="2"/>
    <x v="21"/>
    <d v="2022-08-18T00:00:00"/>
    <x v="1"/>
    <s v="2022"/>
    <x v="2"/>
    <s v="$1,372 "/>
    <n v="105"/>
  </r>
  <r>
    <x v="3"/>
    <x v="0"/>
    <x v="6"/>
    <d v="2022-01-12T00:00:00"/>
    <x v="0"/>
    <s v="2022"/>
    <x v="3"/>
    <s v="$5,250 "/>
    <n v="293"/>
  </r>
  <r>
    <x v="5"/>
    <x v="5"/>
    <x v="14"/>
    <d v="2022-08-11T00:00:00"/>
    <x v="1"/>
    <s v="2022"/>
    <x v="2"/>
    <s v="$7,560 "/>
    <n v="15"/>
  </r>
  <r>
    <x v="0"/>
    <x v="2"/>
    <x v="12"/>
    <d v="2022-01-13T00:00:00"/>
    <x v="0"/>
    <s v="2022"/>
    <x v="2"/>
    <s v="$5,012 "/>
    <n v="384"/>
  </r>
  <r>
    <x v="15"/>
    <x v="0"/>
    <x v="19"/>
    <d v="2022-04-29T00:00:00"/>
    <x v="3"/>
    <s v="2022"/>
    <x v="4"/>
    <s v="$3,038 "/>
    <n v="135"/>
  </r>
  <r>
    <x v="7"/>
    <x v="3"/>
    <x v="5"/>
    <d v="2022-07-07T00:00:00"/>
    <x v="2"/>
    <s v="2022"/>
    <x v="2"/>
    <s v="$1,099 "/>
    <n v="92"/>
  </r>
  <r>
    <x v="22"/>
    <x v="3"/>
    <x v="0"/>
    <d v="2022-03-11T00:00:00"/>
    <x v="6"/>
    <s v="2022"/>
    <x v="4"/>
    <s v="$7,413 "/>
    <n v="4"/>
  </r>
  <r>
    <x v="22"/>
    <x v="0"/>
    <x v="21"/>
    <d v="2022-02-16T00:00:00"/>
    <x v="4"/>
    <s v="2022"/>
    <x v="3"/>
    <s v="$5,397 "/>
    <n v="239"/>
  </r>
  <r>
    <x v="8"/>
    <x v="2"/>
    <x v="10"/>
    <d v="2022-01-07T00:00:00"/>
    <x v="0"/>
    <s v="2022"/>
    <x v="4"/>
    <s v="$2,303 "/>
    <n v="33"/>
  </r>
  <r>
    <x v="12"/>
    <x v="3"/>
    <x v="9"/>
    <d v="2022-01-12T00:00:00"/>
    <x v="0"/>
    <s v="2022"/>
    <x v="3"/>
    <s v="$1,141 "/>
    <n v="518"/>
  </r>
  <r>
    <x v="12"/>
    <x v="1"/>
    <x v="8"/>
    <d v="2022-06-09T00:00:00"/>
    <x v="5"/>
    <s v="2022"/>
    <x v="2"/>
    <s v="$10,325 "/>
    <n v="147"/>
  </r>
  <r>
    <x v="19"/>
    <x v="1"/>
    <x v="8"/>
    <d v="2022-05-16T00:00:00"/>
    <x v="7"/>
    <s v="2022"/>
    <x v="1"/>
    <s v="$2,149 "/>
    <n v="84"/>
  </r>
  <r>
    <x v="2"/>
    <x v="0"/>
    <x v="1"/>
    <d v="2022-06-23T00:00:00"/>
    <x v="5"/>
    <s v="2022"/>
    <x v="2"/>
    <s v="$12,362 "/>
    <n v="94"/>
  </r>
  <r>
    <x v="13"/>
    <x v="0"/>
    <x v="17"/>
    <d v="2022-01-28T00:00:00"/>
    <x v="0"/>
    <s v="2022"/>
    <x v="4"/>
    <s v="$12,635 "/>
    <n v="194"/>
  </r>
  <r>
    <x v="23"/>
    <x v="0"/>
    <x v="0"/>
    <d v="2022-07-14T00:00:00"/>
    <x v="2"/>
    <s v="2022"/>
    <x v="2"/>
    <s v="$2,443 "/>
    <n v="216"/>
  </r>
  <r>
    <x v="8"/>
    <x v="5"/>
    <x v="9"/>
    <d v="2022-04-18T00:00:00"/>
    <x v="3"/>
    <s v="2022"/>
    <x v="1"/>
    <s v="$6,237 "/>
    <n v="247"/>
  </r>
  <r>
    <x v="4"/>
    <x v="4"/>
    <x v="11"/>
    <d v="2022-06-14T00:00:00"/>
    <x v="5"/>
    <s v="2022"/>
    <x v="0"/>
    <s v="$1,736 "/>
    <n v="79"/>
  </r>
  <r>
    <x v="4"/>
    <x v="0"/>
    <x v="7"/>
    <d v="2022-04-15T00:00:00"/>
    <x v="3"/>
    <s v="2022"/>
    <x v="4"/>
    <s v="$7,315 "/>
    <n v="237"/>
  </r>
  <r>
    <x v="14"/>
    <x v="5"/>
    <x v="2"/>
    <d v="2022-05-19T00:00:00"/>
    <x v="7"/>
    <s v="2022"/>
    <x v="2"/>
    <s v="$4,935 "/>
    <n v="63"/>
  </r>
  <r>
    <x v="2"/>
    <x v="1"/>
    <x v="14"/>
    <d v="2022-04-13T00:00:00"/>
    <x v="3"/>
    <s v="2022"/>
    <x v="3"/>
    <s v="$1,393 "/>
    <n v="172"/>
  </r>
  <r>
    <x v="15"/>
    <x v="5"/>
    <x v="18"/>
    <d v="2022-08-15T00:00:00"/>
    <x v="1"/>
    <s v="2022"/>
    <x v="1"/>
    <s v="$3,381 "/>
    <n v="408"/>
  </r>
  <r>
    <x v="18"/>
    <x v="1"/>
    <x v="18"/>
    <d v="2022-08-22T00:00:00"/>
    <x v="1"/>
    <s v="2022"/>
    <x v="1"/>
    <s v="$2,933 "/>
    <n v="233"/>
  </r>
  <r>
    <x v="18"/>
    <x v="3"/>
    <x v="19"/>
    <d v="2022-04-22T00:00:00"/>
    <x v="3"/>
    <s v="2022"/>
    <x v="4"/>
    <s v="$3,836 "/>
    <n v="59"/>
  </r>
  <r>
    <x v="16"/>
    <x v="0"/>
    <x v="18"/>
    <d v="2022-08-03T00:00:00"/>
    <x v="1"/>
    <s v="2022"/>
    <x v="3"/>
    <s v="$8,022 "/>
    <n v="123"/>
  </r>
  <r>
    <x v="17"/>
    <x v="3"/>
    <x v="10"/>
    <d v="2022-01-04T00:00:00"/>
    <x v="0"/>
    <s v="2022"/>
    <x v="0"/>
    <s v="$371 "/>
    <n v="229"/>
  </r>
  <r>
    <x v="20"/>
    <x v="5"/>
    <x v="5"/>
    <d v="2022-01-13T00:00:00"/>
    <x v="0"/>
    <s v="2022"/>
    <x v="2"/>
    <s v="$16,702 "/>
    <n v="198"/>
  </r>
  <r>
    <x v="1"/>
    <x v="2"/>
    <x v="19"/>
    <d v="2022-05-11T00:00:00"/>
    <x v="7"/>
    <s v="2022"/>
    <x v="3"/>
    <s v="$13,258 "/>
    <n v="32"/>
  </r>
  <r>
    <x v="15"/>
    <x v="3"/>
    <x v="2"/>
    <d v="2022-02-16T00:00:00"/>
    <x v="4"/>
    <s v="2022"/>
    <x v="3"/>
    <s v="$2,058 "/>
    <n v="236"/>
  </r>
  <r>
    <x v="16"/>
    <x v="0"/>
    <x v="20"/>
    <d v="2022-05-20T00:00:00"/>
    <x v="7"/>
    <s v="2022"/>
    <x v="4"/>
    <s v="$10,192 "/>
    <n v="67"/>
  </r>
  <r>
    <x v="0"/>
    <x v="0"/>
    <x v="9"/>
    <d v="2022-02-03T00:00:00"/>
    <x v="4"/>
    <s v="2022"/>
    <x v="2"/>
    <s v="$7,140 "/>
    <n v="438"/>
  </r>
  <r>
    <x v="12"/>
    <x v="1"/>
    <x v="15"/>
    <d v="2022-05-06T00:00:00"/>
    <x v="7"/>
    <s v="2022"/>
    <x v="4"/>
    <s v="$9,835 "/>
    <n v="167"/>
  </r>
  <r>
    <x v="5"/>
    <x v="0"/>
    <x v="18"/>
    <d v="2022-06-30T00:00:00"/>
    <x v="5"/>
    <s v="2022"/>
    <x v="2"/>
    <s v="$5,775 "/>
    <n v="135"/>
  </r>
  <r>
    <x v="5"/>
    <x v="0"/>
    <x v="3"/>
    <d v="2022-03-22T00:00:00"/>
    <x v="6"/>
    <s v="2022"/>
    <x v="0"/>
    <s v="$749 "/>
    <n v="148"/>
  </r>
  <r>
    <x v="21"/>
    <x v="5"/>
    <x v="7"/>
    <d v="2022-02-17T00:00:00"/>
    <x v="4"/>
    <s v="2022"/>
    <x v="2"/>
    <s v="$7,770 "/>
    <n v="54"/>
  </r>
  <r>
    <x v="0"/>
    <x v="0"/>
    <x v="1"/>
    <d v="2022-07-07T00:00:00"/>
    <x v="2"/>
    <s v="2022"/>
    <x v="2"/>
    <s v="$5,502 "/>
    <n v="64"/>
  </r>
  <r>
    <x v="4"/>
    <x v="0"/>
    <x v="21"/>
    <d v="2022-03-16T00:00:00"/>
    <x v="6"/>
    <s v="2022"/>
    <x v="3"/>
    <s v="$6,223 "/>
    <n v="181"/>
  </r>
  <r>
    <x v="20"/>
    <x v="0"/>
    <x v="4"/>
    <d v="2022-08-12T00:00:00"/>
    <x v="1"/>
    <s v="2022"/>
    <x v="4"/>
    <s v="$3,507 "/>
    <n v="114"/>
  </r>
  <r>
    <x v="2"/>
    <x v="3"/>
    <x v="5"/>
    <d v="2022-01-21T00:00:00"/>
    <x v="0"/>
    <s v="2022"/>
    <x v="4"/>
    <s v="$5,600 "/>
    <n v="181"/>
  </r>
  <r>
    <x v="4"/>
    <x v="2"/>
    <x v="6"/>
    <d v="2022-05-06T00:00:00"/>
    <x v="7"/>
    <s v="2022"/>
    <x v="4"/>
    <s v="$721 "/>
    <n v="151"/>
  </r>
  <r>
    <x v="4"/>
    <x v="5"/>
    <x v="6"/>
    <d v="2022-06-24T00:00:00"/>
    <x v="5"/>
    <s v="2022"/>
    <x v="4"/>
    <s v="$6,615 "/>
    <n v="137"/>
  </r>
  <r>
    <x v="8"/>
    <x v="4"/>
    <x v="14"/>
    <d v="2022-05-05T00:00:00"/>
    <x v="7"/>
    <s v="2022"/>
    <x v="2"/>
    <s v="$7,420 "/>
    <n v="163"/>
  </r>
  <r>
    <x v="7"/>
    <x v="3"/>
    <x v="4"/>
    <d v="2022-03-25T00:00:00"/>
    <x v="6"/>
    <s v="2022"/>
    <x v="4"/>
    <s v="$3,164 "/>
    <n v="84"/>
  </r>
  <r>
    <x v="14"/>
    <x v="2"/>
    <x v="20"/>
    <d v="2022-02-14T00:00:00"/>
    <x v="4"/>
    <s v="2022"/>
    <x v="1"/>
    <s v="$9,114 "/>
    <n v="140"/>
  </r>
  <r>
    <x v="14"/>
    <x v="3"/>
    <x v="1"/>
    <d v="2022-05-12T00:00:00"/>
    <x v="7"/>
    <s v="2022"/>
    <x v="2"/>
    <s v="$5,404 "/>
    <n v="187"/>
  </r>
  <r>
    <x v="8"/>
    <x v="3"/>
    <x v="3"/>
    <d v="2022-01-25T00:00:00"/>
    <x v="0"/>
    <s v="2022"/>
    <x v="0"/>
    <s v="$3,990 "/>
    <n v="169"/>
  </r>
  <r>
    <x v="24"/>
    <x v="0"/>
    <x v="1"/>
    <d v="2022-06-28T00:00:00"/>
    <x v="5"/>
    <s v="2022"/>
    <x v="0"/>
    <s v="$14,924 "/>
    <n v="12"/>
  </r>
  <r>
    <x v="17"/>
    <x v="2"/>
    <x v="9"/>
    <d v="2022-07-13T00:00:00"/>
    <x v="2"/>
    <s v="2022"/>
    <x v="3"/>
    <s v="$7,091 "/>
    <n v="194"/>
  </r>
  <r>
    <x v="13"/>
    <x v="4"/>
    <x v="11"/>
    <d v="2022-05-16T00:00:00"/>
    <x v="7"/>
    <s v="2022"/>
    <x v="1"/>
    <s v="$2,807 "/>
    <n v="252"/>
  </r>
  <r>
    <x v="3"/>
    <x v="1"/>
    <x v="5"/>
    <d v="2022-03-14T00:00:00"/>
    <x v="6"/>
    <s v="2022"/>
    <x v="1"/>
    <s v="$6,496 "/>
    <n v="168"/>
  </r>
  <r>
    <x v="5"/>
    <x v="4"/>
    <x v="5"/>
    <d v="2022-08-15T00:00:00"/>
    <x v="1"/>
    <s v="2022"/>
    <x v="1"/>
    <s v="$3,738 "/>
    <n v="261"/>
  </r>
  <r>
    <x v="24"/>
    <x v="1"/>
    <x v="7"/>
    <d v="2022-02-16T00:00:00"/>
    <x v="4"/>
    <s v="2022"/>
    <x v="3"/>
    <s v="$1,190 "/>
    <n v="256"/>
  </r>
  <r>
    <x v="9"/>
    <x v="0"/>
    <x v="15"/>
    <d v="2022-06-15T00:00:00"/>
    <x v="5"/>
    <s v="2022"/>
    <x v="3"/>
    <s v="$8,379 "/>
    <n v="43"/>
  </r>
  <r>
    <x v="8"/>
    <x v="2"/>
    <x v="17"/>
    <d v="2022-05-27T00:00:00"/>
    <x v="7"/>
    <s v="2022"/>
    <x v="4"/>
    <s v="$9,268 "/>
    <n v="100"/>
  </r>
  <r>
    <x v="18"/>
    <x v="4"/>
    <x v="9"/>
    <d v="2022-06-14T00:00:00"/>
    <x v="5"/>
    <s v="2022"/>
    <x v="0"/>
    <s v="$1,029 "/>
    <n v="98"/>
  </r>
  <r>
    <x v="18"/>
    <x v="1"/>
    <x v="8"/>
    <d v="2022-02-25T00:00:00"/>
    <x v="4"/>
    <s v="2022"/>
    <x v="4"/>
    <s v="$3,549 "/>
    <n v="76"/>
  </r>
  <r>
    <x v="18"/>
    <x v="1"/>
    <x v="5"/>
    <d v="2022-08-04T00:00:00"/>
    <x v="1"/>
    <s v="2022"/>
    <x v="2"/>
    <s v="$12,026 "/>
    <n v="262"/>
  </r>
  <r>
    <x v="20"/>
    <x v="1"/>
    <x v="4"/>
    <d v="2022-06-28T00:00:00"/>
    <x v="5"/>
    <s v="2022"/>
    <x v="0"/>
    <s v="$2,303 "/>
    <n v="244"/>
  </r>
  <r>
    <x v="5"/>
    <x v="5"/>
    <x v="12"/>
    <d v="2022-04-05T00:00:00"/>
    <x v="3"/>
    <s v="2022"/>
    <x v="0"/>
    <s v="$13,405 "/>
    <n v="12"/>
  </r>
  <r>
    <x v="22"/>
    <x v="5"/>
    <x v="2"/>
    <d v="2022-07-05T00:00:00"/>
    <x v="2"/>
    <s v="2022"/>
    <x v="0"/>
    <s v="$14,763 "/>
    <n v="113"/>
  </r>
  <r>
    <x v="16"/>
    <x v="3"/>
    <x v="8"/>
    <d v="2022-01-20T00:00:00"/>
    <x v="0"/>
    <s v="2022"/>
    <x v="2"/>
    <s v="$12,894 "/>
    <n v="48"/>
  </r>
  <r>
    <x v="24"/>
    <x v="3"/>
    <x v="9"/>
    <d v="2022-02-16T00:00:00"/>
    <x v="4"/>
    <s v="2022"/>
    <x v="3"/>
    <s v="$8,302 "/>
    <n v="131"/>
  </r>
  <r>
    <x v="14"/>
    <x v="0"/>
    <x v="9"/>
    <d v="2022-07-12T00:00:00"/>
    <x v="2"/>
    <s v="2022"/>
    <x v="0"/>
    <s v="$455 "/>
    <n v="174"/>
  </r>
  <r>
    <x v="20"/>
    <x v="1"/>
    <x v="17"/>
    <d v="2022-06-16T00:00:00"/>
    <x v="5"/>
    <s v="2022"/>
    <x v="2"/>
    <s v="$8,183 "/>
    <n v="254"/>
  </r>
  <r>
    <x v="23"/>
    <x v="2"/>
    <x v="18"/>
    <d v="2022-04-13T00:00:00"/>
    <x v="3"/>
    <s v="2022"/>
    <x v="3"/>
    <s v="$1,645 "/>
    <n v="284"/>
  </r>
  <r>
    <x v="16"/>
    <x v="0"/>
    <x v="6"/>
    <d v="2022-02-21T00:00:00"/>
    <x v="4"/>
    <s v="2022"/>
    <x v="1"/>
    <s v="$3,143 "/>
    <n v="67"/>
  </r>
  <r>
    <x v="13"/>
    <x v="5"/>
    <x v="18"/>
    <d v="2022-05-11T00:00:00"/>
    <x v="7"/>
    <s v="2022"/>
    <x v="3"/>
    <s v="$5,873 "/>
    <n v="249"/>
  </r>
  <r>
    <x v="24"/>
    <x v="1"/>
    <x v="6"/>
    <d v="2022-04-15T00:00:00"/>
    <x v="3"/>
    <s v="2022"/>
    <x v="4"/>
    <s v="$11,298 "/>
    <n v="313"/>
  </r>
  <r>
    <x v="4"/>
    <x v="5"/>
    <x v="2"/>
    <d v="2022-06-07T00:00:00"/>
    <x v="5"/>
    <s v="2022"/>
    <x v="0"/>
    <s v="$12,425 "/>
    <n v="167"/>
  </r>
  <r>
    <x v="4"/>
    <x v="0"/>
    <x v="14"/>
    <d v="2022-06-27T00:00:00"/>
    <x v="5"/>
    <s v="2022"/>
    <x v="1"/>
    <s v="$1,715 "/>
    <n v="286"/>
  </r>
  <r>
    <x v="8"/>
    <x v="1"/>
    <x v="5"/>
    <d v="2022-07-29T00:00:00"/>
    <x v="2"/>
    <s v="2022"/>
    <x v="4"/>
    <s v="$8,190 "/>
    <n v="109"/>
  </r>
  <r>
    <x v="18"/>
    <x v="5"/>
    <x v="3"/>
    <d v="2022-06-02T00:00:00"/>
    <x v="5"/>
    <s v="2022"/>
    <x v="2"/>
    <s v="$4,991 "/>
    <n v="166"/>
  </r>
  <r>
    <x v="7"/>
    <x v="1"/>
    <x v="0"/>
    <d v="2022-01-26T00:00:00"/>
    <x v="0"/>
    <s v="2022"/>
    <x v="3"/>
    <s v="$15,491 "/>
    <n v="85"/>
  </r>
  <r>
    <x v="7"/>
    <x v="5"/>
    <x v="4"/>
    <d v="2022-03-02T00:00:00"/>
    <x v="6"/>
    <s v="2022"/>
    <x v="3"/>
    <s v="$5,096 "/>
    <n v="142"/>
  </r>
  <r>
    <x v="1"/>
    <x v="2"/>
    <x v="21"/>
    <d v="2022-01-10T00:00:00"/>
    <x v="0"/>
    <s v="2022"/>
    <x v="1"/>
    <s v="$7,063 "/>
    <n v="104"/>
  </r>
  <r>
    <x v="12"/>
    <x v="4"/>
    <x v="21"/>
    <d v="2022-06-27T00:00:00"/>
    <x v="5"/>
    <s v="2022"/>
    <x v="1"/>
    <s v="$2,275 "/>
    <n v="115"/>
  </r>
  <r>
    <x v="8"/>
    <x v="5"/>
    <x v="7"/>
    <d v="2022-06-30T00:00:00"/>
    <x v="5"/>
    <s v="2022"/>
    <x v="2"/>
    <s v="$7,602 "/>
    <n v="18"/>
  </r>
  <r>
    <x v="13"/>
    <x v="2"/>
    <x v="1"/>
    <d v="2022-07-08T00:00:00"/>
    <x v="2"/>
    <s v="2022"/>
    <x v="4"/>
    <s v="$4,200 "/>
    <n v="80"/>
  </r>
  <r>
    <x v="4"/>
    <x v="1"/>
    <x v="12"/>
    <d v="2022-06-08T00:00:00"/>
    <x v="5"/>
    <s v="2022"/>
    <x v="3"/>
    <s v="$11,137 "/>
    <n v="88"/>
  </r>
  <r>
    <x v="3"/>
    <x v="0"/>
    <x v="15"/>
    <d v="2022-08-18T00:00:00"/>
    <x v="1"/>
    <s v="2022"/>
    <x v="2"/>
    <s v="$3,388 "/>
    <n v="212"/>
  </r>
  <r>
    <x v="16"/>
    <x v="2"/>
    <x v="5"/>
    <d v="2022-04-08T00:00:00"/>
    <x v="3"/>
    <s v="2022"/>
    <x v="4"/>
    <s v="$6,832 "/>
    <n v="306"/>
  </r>
  <r>
    <x v="18"/>
    <x v="5"/>
    <x v="13"/>
    <d v="2022-08-08T00:00:00"/>
    <x v="1"/>
    <s v="2022"/>
    <x v="1"/>
    <s v="$3,437 "/>
    <n v="181"/>
  </r>
  <r>
    <x v="18"/>
    <x v="0"/>
    <x v="11"/>
    <d v="2022-08-26T00:00:00"/>
    <x v="1"/>
    <s v="2022"/>
    <x v="4"/>
    <s v="$301 "/>
    <n v="65"/>
  </r>
  <r>
    <x v="4"/>
    <x v="5"/>
    <x v="13"/>
    <d v="2022-01-14T00:00:00"/>
    <x v="0"/>
    <s v="2022"/>
    <x v="4"/>
    <s v="$1,869 "/>
    <n v="158"/>
  </r>
  <r>
    <x v="17"/>
    <x v="4"/>
    <x v="19"/>
    <d v="2022-08-11T00:00:00"/>
    <x v="1"/>
    <s v="2022"/>
    <x v="2"/>
    <s v="$17,465 "/>
    <n v="271"/>
  </r>
  <r>
    <x v="22"/>
    <x v="4"/>
    <x v="16"/>
    <d v="2022-05-31T00:00:00"/>
    <x v="7"/>
    <s v="2022"/>
    <x v="0"/>
    <s v="$10,143 "/>
    <n v="24"/>
  </r>
  <r>
    <x v="1"/>
    <x v="3"/>
    <x v="6"/>
    <d v="2022-07-11T00:00:00"/>
    <x v="2"/>
    <s v="2022"/>
    <x v="1"/>
    <s v="$3,626 "/>
    <n v="10"/>
  </r>
  <r>
    <x v="10"/>
    <x v="5"/>
    <x v="20"/>
    <d v="2022-03-02T00:00:00"/>
    <x v="6"/>
    <s v="2022"/>
    <x v="3"/>
    <s v="$3,346 "/>
    <n v="304"/>
  </r>
  <r>
    <x v="22"/>
    <x v="2"/>
    <x v="17"/>
    <d v="2022-07-13T00:00:00"/>
    <x v="2"/>
    <s v="2022"/>
    <x v="3"/>
    <s v="$6,321 "/>
    <n v="88"/>
  </r>
  <r>
    <x v="7"/>
    <x v="0"/>
    <x v="12"/>
    <d v="2022-08-03T00:00:00"/>
    <x v="1"/>
    <s v="2022"/>
    <x v="3"/>
    <s v="$9,345 "/>
    <n v="133"/>
  </r>
  <r>
    <x v="14"/>
    <x v="0"/>
    <x v="2"/>
    <d v="2022-03-01T00:00:00"/>
    <x v="6"/>
    <s v="2022"/>
    <x v="0"/>
    <s v="$15,008 "/>
    <n v="165"/>
  </r>
  <r>
    <x v="20"/>
    <x v="3"/>
    <x v="14"/>
    <d v="2022-04-13T00:00:00"/>
    <x v="3"/>
    <s v="2022"/>
    <x v="3"/>
    <s v="$7,609 "/>
    <n v="150"/>
  </r>
  <r>
    <x v="12"/>
    <x v="5"/>
    <x v="13"/>
    <d v="2022-02-14T00:00:00"/>
    <x v="4"/>
    <s v="2022"/>
    <x v="1"/>
    <s v="$10,332 "/>
    <n v="180"/>
  </r>
  <r>
    <x v="9"/>
    <x v="1"/>
    <x v="14"/>
    <d v="2022-07-26T00:00:00"/>
    <x v="2"/>
    <s v="2022"/>
    <x v="0"/>
    <s v="$819 "/>
    <n v="213"/>
  </r>
  <r>
    <x v="6"/>
    <x v="0"/>
    <x v="9"/>
    <d v="2022-01-27T00:00:00"/>
    <x v="0"/>
    <s v="2022"/>
    <x v="2"/>
    <s v="$5,754 "/>
    <n v="133"/>
  </r>
  <r>
    <x v="0"/>
    <x v="1"/>
    <x v="2"/>
    <d v="2022-04-14T00:00:00"/>
    <x v="3"/>
    <s v="2022"/>
    <x v="2"/>
    <s v="$28 "/>
    <n v="446"/>
  </r>
  <r>
    <x v="4"/>
    <x v="4"/>
    <x v="16"/>
    <d v="2022-05-19T00:00:00"/>
    <x v="7"/>
    <s v="2022"/>
    <x v="2"/>
    <s v="$6,440 "/>
    <n v="141"/>
  </r>
  <r>
    <x v="15"/>
    <x v="1"/>
    <x v="8"/>
    <d v="2022-02-09T00:00:00"/>
    <x v="4"/>
    <s v="2022"/>
    <x v="3"/>
    <s v="$4,956 "/>
    <n v="58"/>
  </r>
  <r>
    <x v="6"/>
    <x v="0"/>
    <x v="12"/>
    <d v="2022-05-25T00:00:00"/>
    <x v="7"/>
    <s v="2022"/>
    <x v="3"/>
    <s v="$2,352 "/>
    <n v="58"/>
  </r>
  <r>
    <x v="4"/>
    <x v="2"/>
    <x v="15"/>
    <d v="2022-01-26T00:00:00"/>
    <x v="0"/>
    <s v="2022"/>
    <x v="3"/>
    <s v="$3,906 "/>
    <n v="76"/>
  </r>
  <r>
    <x v="12"/>
    <x v="1"/>
    <x v="14"/>
    <d v="2022-07-04T00:00:00"/>
    <x v="2"/>
    <s v="2022"/>
    <x v="1"/>
    <s v="$1,813 "/>
    <n v="296"/>
  </r>
  <r>
    <x v="24"/>
    <x v="1"/>
    <x v="16"/>
    <d v="2022-04-13T00:00:00"/>
    <x v="3"/>
    <s v="2022"/>
    <x v="3"/>
    <s v="$11,788 "/>
    <n v="73"/>
  </r>
  <r>
    <x v="2"/>
    <x v="2"/>
    <x v="3"/>
    <d v="2022-01-25T00:00:00"/>
    <x v="0"/>
    <s v="2022"/>
    <x v="0"/>
    <s v="$5,768 "/>
    <n v="119"/>
  </r>
  <r>
    <x v="21"/>
    <x v="4"/>
    <x v="1"/>
    <d v="2022-04-25T00:00:00"/>
    <x v="3"/>
    <s v="2022"/>
    <x v="1"/>
    <s v="$2,401 "/>
    <n v="78"/>
  </r>
  <r>
    <x v="21"/>
    <x v="4"/>
    <x v="8"/>
    <d v="2022-06-10T00:00:00"/>
    <x v="5"/>
    <s v="2022"/>
    <x v="4"/>
    <s v="$4,515 "/>
    <n v="392"/>
  </r>
  <r>
    <x v="22"/>
    <x v="3"/>
    <x v="14"/>
    <d v="2022-08-22T00:00:00"/>
    <x v="1"/>
    <s v="2022"/>
    <x v="1"/>
    <s v="$10,794 "/>
    <n v="51"/>
  </r>
  <r>
    <x v="1"/>
    <x v="1"/>
    <x v="5"/>
    <d v="2022-06-27T00:00:00"/>
    <x v="5"/>
    <s v="2022"/>
    <x v="1"/>
    <s v="$13,706 "/>
    <n v="207"/>
  </r>
  <r>
    <x v="15"/>
    <x v="1"/>
    <x v="7"/>
    <d v="2022-06-30T00:00:00"/>
    <x v="5"/>
    <s v="2022"/>
    <x v="2"/>
    <s v="$4,361 "/>
    <n v="40"/>
  </r>
  <r>
    <x v="0"/>
    <x v="1"/>
    <x v="16"/>
    <d v="2022-08-30T00:00:00"/>
    <x v="1"/>
    <s v="2022"/>
    <x v="0"/>
    <s v="$10,122 "/>
    <n v="100"/>
  </r>
  <r>
    <x v="10"/>
    <x v="2"/>
    <x v="17"/>
    <d v="2022-08-23T00:00:00"/>
    <x v="1"/>
    <s v="2022"/>
    <x v="0"/>
    <s v="$994 "/>
    <n v="57"/>
  </r>
  <r>
    <x v="21"/>
    <x v="3"/>
    <x v="4"/>
    <d v="2022-08-26T00:00:00"/>
    <x v="1"/>
    <s v="2022"/>
    <x v="4"/>
    <s v="$2,268 "/>
    <n v="42"/>
  </r>
  <r>
    <x v="2"/>
    <x v="2"/>
    <x v="7"/>
    <d v="2022-03-09T00:00:00"/>
    <x v="6"/>
    <s v="2022"/>
    <x v="3"/>
    <s v="$574 "/>
    <n v="156"/>
  </r>
  <r>
    <x v="20"/>
    <x v="0"/>
    <x v="9"/>
    <d v="2022-04-20T00:00:00"/>
    <x v="3"/>
    <s v="2022"/>
    <x v="3"/>
    <s v="$1,792 "/>
    <n v="23"/>
  </r>
  <r>
    <x v="9"/>
    <x v="5"/>
    <x v="20"/>
    <d v="2022-06-10T00:00:00"/>
    <x v="5"/>
    <s v="2022"/>
    <x v="4"/>
    <s v="$4,844 "/>
    <n v="539"/>
  </r>
  <r>
    <x v="15"/>
    <x v="2"/>
    <x v="10"/>
    <d v="2022-02-08T00:00:00"/>
    <x v="4"/>
    <s v="2022"/>
    <x v="0"/>
    <s v="$938 "/>
    <n v="158"/>
  </r>
  <r>
    <x v="6"/>
    <x v="2"/>
    <x v="14"/>
    <d v="2022-08-25T00:00:00"/>
    <x v="1"/>
    <s v="2022"/>
    <x v="2"/>
    <s v="$4,879 "/>
    <n v="22"/>
  </r>
  <r>
    <x v="23"/>
    <x v="1"/>
    <x v="2"/>
    <d v="2022-02-16T00:00:00"/>
    <x v="4"/>
    <s v="2022"/>
    <x v="3"/>
    <s v="$9,107 "/>
    <n v="73"/>
  </r>
  <r>
    <x v="17"/>
    <x v="0"/>
    <x v="4"/>
    <d v="2022-05-30T00:00:00"/>
    <x v="7"/>
    <s v="2022"/>
    <x v="1"/>
    <s v="$12,187 "/>
    <n v="27"/>
  </r>
  <r>
    <x v="2"/>
    <x v="3"/>
    <x v="6"/>
    <d v="2022-06-29T00:00:00"/>
    <x v="5"/>
    <s v="2022"/>
    <x v="3"/>
    <s v="$5,670 "/>
    <n v="64"/>
  </r>
  <r>
    <x v="2"/>
    <x v="4"/>
    <x v="11"/>
    <d v="2022-06-16T00:00:00"/>
    <x v="5"/>
    <s v="2022"/>
    <x v="2"/>
    <s v="$476 "/>
    <n v="133"/>
  </r>
  <r>
    <x v="6"/>
    <x v="0"/>
    <x v="20"/>
    <d v="2022-03-04T00:00:00"/>
    <x v="6"/>
    <s v="2022"/>
    <x v="4"/>
    <s v="$2,681 "/>
    <n v="149"/>
  </r>
  <r>
    <x v="14"/>
    <x v="3"/>
    <x v="2"/>
    <d v="2022-03-15T00:00:00"/>
    <x v="6"/>
    <s v="2022"/>
    <x v="0"/>
    <s v="$1,533 "/>
    <n v="434"/>
  </r>
  <r>
    <x v="14"/>
    <x v="3"/>
    <x v="6"/>
    <d v="2022-01-27T00:00:00"/>
    <x v="0"/>
    <s v="2022"/>
    <x v="2"/>
    <s v="$9,765 "/>
    <n v="85"/>
  </r>
  <r>
    <x v="12"/>
    <x v="5"/>
    <x v="9"/>
    <d v="2022-07-05T00:00:00"/>
    <x v="2"/>
    <s v="2022"/>
    <x v="0"/>
    <s v="$994 "/>
    <n v="118"/>
  </r>
  <r>
    <x v="8"/>
    <x v="4"/>
    <x v="20"/>
    <d v="2022-03-29T00:00:00"/>
    <x v="6"/>
    <s v="2022"/>
    <x v="0"/>
    <s v="$3,318 "/>
    <n v="299"/>
  </r>
  <r>
    <x v="9"/>
    <x v="5"/>
    <x v="16"/>
    <d v="2022-05-12T00:00:00"/>
    <x v="7"/>
    <s v="2022"/>
    <x v="2"/>
    <s v="$4,214 "/>
    <n v="35"/>
  </r>
  <r>
    <x v="4"/>
    <x v="4"/>
    <x v="9"/>
    <d v="2022-03-11T00:00:00"/>
    <x v="6"/>
    <s v="2022"/>
    <x v="4"/>
    <s v="$7,714 "/>
    <n v="44"/>
  </r>
  <r>
    <x v="6"/>
    <x v="3"/>
    <x v="8"/>
    <d v="2022-07-11T00:00:00"/>
    <x v="2"/>
    <s v="2022"/>
    <x v="1"/>
    <s v="$4,690 "/>
    <n v="299"/>
  </r>
  <r>
    <x v="5"/>
    <x v="3"/>
    <x v="18"/>
    <d v="2022-08-01T00:00:00"/>
    <x v="1"/>
    <s v="2022"/>
    <x v="1"/>
    <s v="$13,062 "/>
    <n v="62"/>
  </r>
  <r>
    <x v="5"/>
    <x v="0"/>
    <x v="12"/>
    <d v="2022-02-16T00:00:00"/>
    <x v="4"/>
    <s v="2022"/>
    <x v="3"/>
    <s v="$12,488 "/>
    <n v="200"/>
  </r>
  <r>
    <x v="14"/>
    <x v="4"/>
    <x v="5"/>
    <d v="2022-04-13T00:00:00"/>
    <x v="3"/>
    <s v="2022"/>
    <x v="3"/>
    <s v="$14,147 "/>
    <n v="235"/>
  </r>
  <r>
    <x v="4"/>
    <x v="1"/>
    <x v="18"/>
    <d v="2022-02-14T00:00:00"/>
    <x v="4"/>
    <s v="2022"/>
    <x v="1"/>
    <s v="$49 "/>
    <n v="363"/>
  </r>
  <r>
    <x v="24"/>
    <x v="2"/>
    <x v="2"/>
    <d v="2022-03-14T00:00:00"/>
    <x v="6"/>
    <s v="2022"/>
    <x v="1"/>
    <s v="$10,199 "/>
    <n v="68"/>
  </r>
  <r>
    <x v="4"/>
    <x v="2"/>
    <x v="12"/>
    <d v="2022-04-26T00:00:00"/>
    <x v="3"/>
    <s v="2022"/>
    <x v="0"/>
    <s v="$11,389 "/>
    <n v="26"/>
  </r>
  <r>
    <x v="0"/>
    <x v="5"/>
    <x v="15"/>
    <d v="2022-04-05T00:00:00"/>
    <x v="3"/>
    <s v="2022"/>
    <x v="0"/>
    <s v="$3,584 "/>
    <n v="200"/>
  </r>
  <r>
    <x v="21"/>
    <x v="5"/>
    <x v="9"/>
    <d v="2022-03-03T00:00:00"/>
    <x v="6"/>
    <s v="2022"/>
    <x v="2"/>
    <s v="$12,481 "/>
    <n v="264"/>
  </r>
  <r>
    <x v="16"/>
    <x v="4"/>
    <x v="12"/>
    <d v="2022-06-13T00:00:00"/>
    <x v="5"/>
    <s v="2022"/>
    <x v="1"/>
    <s v="$2,107 "/>
    <n v="175"/>
  </r>
  <r>
    <x v="11"/>
    <x v="3"/>
    <x v="21"/>
    <d v="2022-02-14T00:00:00"/>
    <x v="4"/>
    <s v="2022"/>
    <x v="1"/>
    <s v="$8,603 "/>
    <n v="352"/>
  </r>
  <r>
    <x v="13"/>
    <x v="3"/>
    <x v="4"/>
    <d v="2022-04-18T00:00:00"/>
    <x v="3"/>
    <s v="2022"/>
    <x v="1"/>
    <s v="$7,483 "/>
    <n v="183"/>
  </r>
  <r>
    <x v="4"/>
    <x v="3"/>
    <x v="1"/>
    <d v="2022-02-01T00:00:00"/>
    <x v="4"/>
    <s v="2022"/>
    <x v="0"/>
    <s v="$3,381 "/>
    <n v="417"/>
  </r>
  <r>
    <x v="23"/>
    <x v="3"/>
    <x v="7"/>
    <d v="2022-08-04T00:00:00"/>
    <x v="1"/>
    <s v="2022"/>
    <x v="2"/>
    <s v="$2,030 "/>
    <n v="146"/>
  </r>
  <r>
    <x v="19"/>
    <x v="3"/>
    <x v="16"/>
    <d v="2022-04-05T00:00:00"/>
    <x v="3"/>
    <s v="2022"/>
    <x v="0"/>
    <s v="$6,559 "/>
    <n v="158"/>
  </r>
  <r>
    <x v="10"/>
    <x v="2"/>
    <x v="4"/>
    <d v="2022-01-26T00:00:00"/>
    <x v="0"/>
    <s v="2022"/>
    <x v="3"/>
    <s v="$10,822 "/>
    <n v="168"/>
  </r>
  <r>
    <x v="16"/>
    <x v="0"/>
    <x v="5"/>
    <d v="2022-01-21T00:00:00"/>
    <x v="0"/>
    <s v="2022"/>
    <x v="4"/>
    <s v="$18,697 "/>
    <n v="176"/>
  </r>
  <r>
    <x v="16"/>
    <x v="5"/>
    <x v="5"/>
    <d v="2022-08-22T00:00:00"/>
    <x v="1"/>
    <s v="2022"/>
    <x v="1"/>
    <s v="$5,845 "/>
    <n v="172"/>
  </r>
  <r>
    <x v="16"/>
    <x v="0"/>
    <x v="9"/>
    <d v="2022-01-27T00:00:00"/>
    <x v="0"/>
    <s v="2022"/>
    <x v="2"/>
    <s v="$2,317 "/>
    <n v="224"/>
  </r>
  <r>
    <x v="7"/>
    <x v="0"/>
    <x v="6"/>
    <d v="2022-02-16T00:00:00"/>
    <x v="4"/>
    <s v="2022"/>
    <x v="3"/>
    <s v="$10,150 "/>
    <n v="68"/>
  </r>
  <r>
    <x v="23"/>
    <x v="4"/>
    <x v="17"/>
    <d v="2022-01-03T00:00:00"/>
    <x v="0"/>
    <s v="2022"/>
    <x v="1"/>
    <s v="$3,437 "/>
    <n v="46"/>
  </r>
  <r>
    <x v="10"/>
    <x v="4"/>
    <x v="14"/>
    <d v="2022-08-24T00:00:00"/>
    <x v="1"/>
    <s v="2022"/>
    <x v="3"/>
    <s v="$4,592 "/>
    <n v="2"/>
  </r>
  <r>
    <x v="4"/>
    <x v="4"/>
    <x v="12"/>
    <d v="2022-02-07T00:00:00"/>
    <x v="4"/>
    <s v="2022"/>
    <x v="1"/>
    <s v="$5,691 "/>
    <n v="417"/>
  </r>
  <r>
    <x v="9"/>
    <x v="2"/>
    <x v="3"/>
    <d v="2022-02-11T00:00:00"/>
    <x v="4"/>
    <s v="2022"/>
    <x v="4"/>
    <s v="$4,158 "/>
    <n v="109"/>
  </r>
  <r>
    <x v="16"/>
    <x v="5"/>
    <x v="10"/>
    <d v="2022-03-29T00:00:00"/>
    <x v="6"/>
    <s v="2022"/>
    <x v="0"/>
    <s v="$5,684 "/>
    <n v="81"/>
  </r>
  <r>
    <x v="11"/>
    <x v="4"/>
    <x v="2"/>
    <d v="2022-06-15T00:00:00"/>
    <x v="5"/>
    <s v="2022"/>
    <x v="3"/>
    <s v="$693 "/>
    <n v="350"/>
  </r>
  <r>
    <x v="17"/>
    <x v="0"/>
    <x v="3"/>
    <d v="2022-04-26T00:00:00"/>
    <x v="3"/>
    <s v="2022"/>
    <x v="0"/>
    <s v="$546 "/>
    <n v="142"/>
  </r>
  <r>
    <x v="6"/>
    <x v="2"/>
    <x v="10"/>
    <d v="2022-07-15T00:00:00"/>
    <x v="2"/>
    <s v="2022"/>
    <x v="4"/>
    <s v="$4,263 "/>
    <n v="264"/>
  </r>
  <r>
    <x v="12"/>
    <x v="1"/>
    <x v="10"/>
    <d v="2022-06-23T00:00:00"/>
    <x v="5"/>
    <s v="2022"/>
    <x v="2"/>
    <s v="$1,036 "/>
    <n v="20"/>
  </r>
  <r>
    <x v="17"/>
    <x v="2"/>
    <x v="19"/>
    <d v="2022-01-11T00:00:00"/>
    <x v="0"/>
    <s v="2022"/>
    <x v="0"/>
    <s v="$13,846 "/>
    <n v="421"/>
  </r>
  <r>
    <x v="12"/>
    <x v="0"/>
    <x v="6"/>
    <d v="2022-02-09T00:00:00"/>
    <x v="4"/>
    <s v="2022"/>
    <x v="3"/>
    <s v="$2,499 "/>
    <n v="271"/>
  </r>
  <r>
    <x v="1"/>
    <x v="0"/>
    <x v="16"/>
    <d v="2022-06-06T00:00:00"/>
    <x v="5"/>
    <s v="2022"/>
    <x v="1"/>
    <s v="$10,689 "/>
    <n v="204"/>
  </r>
  <r>
    <x v="23"/>
    <x v="0"/>
    <x v="20"/>
    <d v="2022-08-10T00:00:00"/>
    <x v="1"/>
    <s v="2022"/>
    <x v="3"/>
    <s v="$5,768 "/>
    <n v="235"/>
  </r>
  <r>
    <x v="18"/>
    <x v="2"/>
    <x v="3"/>
    <d v="2022-01-04T00:00:00"/>
    <x v="0"/>
    <s v="2022"/>
    <x v="0"/>
    <s v="$2,226 "/>
    <n v="46"/>
  </r>
  <r>
    <x v="19"/>
    <x v="5"/>
    <x v="21"/>
    <d v="2022-04-08T00:00:00"/>
    <x v="3"/>
    <s v="2022"/>
    <x v="4"/>
    <s v="$10,262 "/>
    <n v="15"/>
  </r>
  <r>
    <x v="8"/>
    <x v="0"/>
    <x v="11"/>
    <d v="2022-03-02T00:00:00"/>
    <x v="6"/>
    <s v="2022"/>
    <x v="3"/>
    <s v="$3,864 "/>
    <n v="430"/>
  </r>
  <r>
    <x v="1"/>
    <x v="5"/>
    <x v="9"/>
    <d v="2022-06-15T00:00:00"/>
    <x v="5"/>
    <s v="2022"/>
    <x v="3"/>
    <s v="$4,900 "/>
    <n v="709"/>
  </r>
  <r>
    <x v="0"/>
    <x v="2"/>
    <x v="5"/>
    <d v="2022-02-14T00:00:00"/>
    <x v="4"/>
    <s v="2022"/>
    <x v="1"/>
    <s v="$5,250 "/>
    <n v="47"/>
  </r>
  <r>
    <x v="15"/>
    <x v="0"/>
    <x v="5"/>
    <d v="2022-07-05T00:00:00"/>
    <x v="2"/>
    <s v="2022"/>
    <x v="0"/>
    <s v="$3,507 "/>
    <n v="380"/>
  </r>
  <r>
    <x v="8"/>
    <x v="1"/>
    <x v="0"/>
    <d v="2022-01-12T00:00:00"/>
    <x v="0"/>
    <s v="2022"/>
    <x v="3"/>
    <s v="$7,413 "/>
    <n v="465"/>
  </r>
  <r>
    <x v="14"/>
    <x v="1"/>
    <x v="0"/>
    <d v="2022-03-03T00:00:00"/>
    <x v="6"/>
    <s v="2022"/>
    <x v="2"/>
    <s v="$8,155 "/>
    <n v="96"/>
  </r>
  <r>
    <x v="0"/>
    <x v="3"/>
    <x v="11"/>
    <d v="2022-05-18T00:00:00"/>
    <x v="7"/>
    <s v="2022"/>
    <x v="3"/>
    <s v="$2,478 "/>
    <n v="188"/>
  </r>
  <r>
    <x v="5"/>
    <x v="1"/>
    <x v="20"/>
    <d v="2022-07-28T00:00:00"/>
    <x v="2"/>
    <s v="2022"/>
    <x v="2"/>
    <s v="$2,471 "/>
    <n v="202"/>
  </r>
  <r>
    <x v="14"/>
    <x v="0"/>
    <x v="15"/>
    <d v="2022-02-07T00:00:00"/>
    <x v="4"/>
    <s v="2022"/>
    <x v="1"/>
    <s v="$1,666 "/>
    <n v="106"/>
  </r>
  <r>
    <x v="19"/>
    <x v="1"/>
    <x v="7"/>
    <d v="2022-05-30T00:00:00"/>
    <x v="7"/>
    <s v="2022"/>
    <x v="1"/>
    <s v="$301 "/>
    <n v="421"/>
  </r>
  <r>
    <x v="9"/>
    <x v="2"/>
    <x v="17"/>
    <d v="2022-04-25T00:00:00"/>
    <x v="3"/>
    <s v="2022"/>
    <x v="1"/>
    <s v="$8,400 "/>
    <n v="27"/>
  </r>
  <r>
    <x v="12"/>
    <x v="5"/>
    <x v="1"/>
    <d v="2022-02-16T00:00:00"/>
    <x v="4"/>
    <s v="2022"/>
    <x v="3"/>
    <s v="$6,139 "/>
    <n v="45"/>
  </r>
  <r>
    <x v="20"/>
    <x v="2"/>
    <x v="9"/>
    <d v="2022-05-04T00:00:00"/>
    <x v="7"/>
    <s v="2022"/>
    <x v="3"/>
    <s v="$1,288 "/>
    <n v="60"/>
  </r>
  <r>
    <x v="1"/>
    <x v="5"/>
    <x v="21"/>
    <d v="2022-06-02T00:00:00"/>
    <x v="5"/>
    <s v="2022"/>
    <x v="2"/>
    <s v="$7,077 "/>
    <n v="77"/>
  </r>
  <r>
    <x v="17"/>
    <x v="4"/>
    <x v="20"/>
    <d v="2022-07-11T00:00:00"/>
    <x v="2"/>
    <s v="2022"/>
    <x v="1"/>
    <s v="$2,317 "/>
    <n v="464"/>
  </r>
  <r>
    <x v="12"/>
    <x v="3"/>
    <x v="12"/>
    <d v="2022-06-07T00:00:00"/>
    <x v="5"/>
    <s v="2022"/>
    <x v="0"/>
    <s v="$63 "/>
    <n v="60"/>
  </r>
  <r>
    <x v="3"/>
    <x v="0"/>
    <x v="16"/>
    <d v="2022-07-06T00:00:00"/>
    <x v="2"/>
    <s v="2022"/>
    <x v="3"/>
    <s v="$9,744 "/>
    <n v="157"/>
  </r>
  <r>
    <x v="15"/>
    <x v="1"/>
    <x v="17"/>
    <d v="2022-06-15T00:00:00"/>
    <x v="5"/>
    <s v="2022"/>
    <x v="3"/>
    <s v="$9,954 "/>
    <n v="154"/>
  </r>
  <r>
    <x v="23"/>
    <x v="1"/>
    <x v="0"/>
    <d v="2022-04-14T00:00:00"/>
    <x v="3"/>
    <s v="2022"/>
    <x v="2"/>
    <s v="$1,260 "/>
    <n v="239"/>
  </r>
  <r>
    <x v="21"/>
    <x v="1"/>
    <x v="9"/>
    <d v="2022-08-08T00:00:00"/>
    <x v="1"/>
    <s v="2022"/>
    <x v="1"/>
    <s v="$469 "/>
    <n v="163"/>
  </r>
  <r>
    <x v="11"/>
    <x v="0"/>
    <x v="9"/>
    <d v="2022-03-29T00:00:00"/>
    <x v="6"/>
    <s v="2022"/>
    <x v="0"/>
    <s v="$973 "/>
    <n v="28"/>
  </r>
  <r>
    <x v="13"/>
    <x v="2"/>
    <x v="10"/>
    <d v="2022-07-04T00:00:00"/>
    <x v="2"/>
    <s v="2022"/>
    <x v="1"/>
    <s v="$3,647 "/>
    <n v="76"/>
  </r>
  <r>
    <x v="24"/>
    <x v="1"/>
    <x v="4"/>
    <d v="2022-02-16T00:00:00"/>
    <x v="4"/>
    <s v="2022"/>
    <x v="3"/>
    <s v="$455 "/>
    <n v="96"/>
  </r>
  <r>
    <x v="7"/>
    <x v="5"/>
    <x v="12"/>
    <d v="2022-05-02T00:00:00"/>
    <x v="7"/>
    <s v="2022"/>
    <x v="1"/>
    <s v="$2,520 "/>
    <n v="156"/>
  </r>
  <r>
    <x v="1"/>
    <x v="1"/>
    <x v="8"/>
    <d v="2022-07-21T00:00:00"/>
    <x v="2"/>
    <s v="2022"/>
    <x v="2"/>
    <s v="$10,500 "/>
    <n v="106"/>
  </r>
  <r>
    <x v="5"/>
    <x v="2"/>
    <x v="4"/>
    <d v="2022-08-18T00:00:00"/>
    <x v="1"/>
    <s v="2022"/>
    <x v="2"/>
    <s v="$7,952 "/>
    <n v="235"/>
  </r>
  <r>
    <x v="16"/>
    <x v="4"/>
    <x v="1"/>
    <d v="2022-06-22T00:00:00"/>
    <x v="5"/>
    <s v="2022"/>
    <x v="3"/>
    <s v="$483 "/>
    <n v="259"/>
  </r>
  <r>
    <x v="21"/>
    <x v="0"/>
    <x v="2"/>
    <d v="2022-07-19T00:00:00"/>
    <x v="2"/>
    <s v="2022"/>
    <x v="0"/>
    <s v="$4,872 "/>
    <n v="126"/>
  </r>
  <r>
    <x v="22"/>
    <x v="0"/>
    <x v="2"/>
    <d v="2022-08-12T00:00:00"/>
    <x v="1"/>
    <s v="2022"/>
    <x v="4"/>
    <s v="$7,756 "/>
    <n v="85"/>
  </r>
  <r>
    <x v="22"/>
    <x v="4"/>
    <x v="18"/>
    <d v="2022-06-07T00:00:00"/>
    <x v="5"/>
    <s v="2022"/>
    <x v="0"/>
    <s v="$5,446 "/>
    <n v="132"/>
  </r>
  <r>
    <x v="11"/>
    <x v="5"/>
    <x v="2"/>
    <d v="2022-03-08T00:00:00"/>
    <x v="6"/>
    <s v="2022"/>
    <x v="0"/>
    <s v="$6,594 "/>
    <n v="91"/>
  </r>
  <r>
    <x v="24"/>
    <x v="2"/>
    <x v="18"/>
    <d v="2022-04-08T00:00:00"/>
    <x v="3"/>
    <s v="2022"/>
    <x v="4"/>
    <s v="$1,470 "/>
    <n v="167"/>
  </r>
  <r>
    <x v="14"/>
    <x v="5"/>
    <x v="8"/>
    <d v="2022-05-06T00:00:00"/>
    <x v="7"/>
    <s v="2022"/>
    <x v="4"/>
    <s v="$721 "/>
    <n v="203"/>
  </r>
  <r>
    <x v="13"/>
    <x v="1"/>
    <x v="9"/>
    <d v="2022-05-31T00:00:00"/>
    <x v="7"/>
    <s v="2022"/>
    <x v="0"/>
    <s v="$4,494 "/>
    <n v="11"/>
  </r>
  <r>
    <x v="1"/>
    <x v="2"/>
    <x v="0"/>
    <d v="2022-01-13T00:00:00"/>
    <x v="0"/>
    <s v="2022"/>
    <x v="2"/>
    <s v="$2,674 "/>
    <n v="295"/>
  </r>
  <r>
    <x v="17"/>
    <x v="4"/>
    <x v="21"/>
    <d v="2022-03-15T00:00:00"/>
    <x v="6"/>
    <s v="2022"/>
    <x v="0"/>
    <s v="$658 "/>
    <n v="77"/>
  </r>
  <r>
    <x v="19"/>
    <x v="5"/>
    <x v="2"/>
    <d v="2022-02-16T00:00:00"/>
    <x v="4"/>
    <s v="2022"/>
    <x v="3"/>
    <s v="$1,127 "/>
    <n v="319"/>
  </r>
  <r>
    <x v="2"/>
    <x v="4"/>
    <x v="21"/>
    <d v="2022-01-14T00:00:00"/>
    <x v="0"/>
    <s v="2022"/>
    <x v="4"/>
    <s v="$7,364 "/>
    <n v="196"/>
  </r>
  <r>
    <x v="7"/>
    <x v="2"/>
    <x v="14"/>
    <d v="2022-03-21T00:00:00"/>
    <x v="6"/>
    <s v="2022"/>
    <x v="1"/>
    <s v="$6,818 "/>
    <n v="102"/>
  </r>
  <r>
    <x v="13"/>
    <x v="5"/>
    <x v="9"/>
    <d v="2022-05-17T00:00:00"/>
    <x v="7"/>
    <s v="2022"/>
    <x v="0"/>
    <s v="$6,776 "/>
    <n v="312"/>
  </r>
  <r>
    <x v="21"/>
    <x v="3"/>
    <x v="1"/>
    <d v="2022-08-08T00:00:00"/>
    <x v="1"/>
    <s v="2022"/>
    <x v="1"/>
    <s v="$15,099 "/>
    <n v="55"/>
  </r>
  <r>
    <x v="22"/>
    <x v="5"/>
    <x v="11"/>
    <d v="2022-04-26T00:00:00"/>
    <x v="3"/>
    <s v="2022"/>
    <x v="0"/>
    <s v="$3,612 "/>
    <n v="82"/>
  </r>
  <r>
    <x v="22"/>
    <x v="2"/>
    <x v="21"/>
    <d v="2022-04-15T00:00:00"/>
    <x v="3"/>
    <s v="2022"/>
    <x v="4"/>
    <s v="$3,710 "/>
    <n v="260"/>
  </r>
  <r>
    <x v="4"/>
    <x v="5"/>
    <x v="8"/>
    <d v="2022-05-19T00:00:00"/>
    <x v="7"/>
    <s v="2022"/>
    <x v="2"/>
    <s v="$6,111 "/>
    <n v="591"/>
  </r>
  <r>
    <x v="17"/>
    <x v="5"/>
    <x v="9"/>
    <d v="2022-01-10T00:00:00"/>
    <x v="0"/>
    <s v="2022"/>
    <x v="1"/>
    <s v="$2,702 "/>
    <n v="24"/>
  </r>
  <r>
    <x v="9"/>
    <x v="3"/>
    <x v="5"/>
    <d v="2022-05-04T00:00:00"/>
    <x v="7"/>
    <s v="2022"/>
    <x v="3"/>
    <s v="$483 "/>
    <n v="228"/>
  </r>
  <r>
    <x v="13"/>
    <x v="5"/>
    <x v="14"/>
    <d v="2022-04-05T00:00:00"/>
    <x v="3"/>
    <s v="2022"/>
    <x v="0"/>
    <s v="$5,887 "/>
    <n v="268"/>
  </r>
  <r>
    <x v="19"/>
    <x v="1"/>
    <x v="5"/>
    <d v="2022-01-17T00:00:00"/>
    <x v="0"/>
    <s v="2022"/>
    <x v="1"/>
    <s v="$952 "/>
    <n v="68"/>
  </r>
  <r>
    <x v="13"/>
    <x v="1"/>
    <x v="12"/>
    <d v="2022-03-22T00:00:00"/>
    <x v="6"/>
    <s v="2022"/>
    <x v="0"/>
    <s v="$10,647 "/>
    <n v="173"/>
  </r>
  <r>
    <x v="23"/>
    <x v="2"/>
    <x v="14"/>
    <d v="2022-07-05T00:00:00"/>
    <x v="2"/>
    <s v="2022"/>
    <x v="0"/>
    <s v="$6,055 "/>
    <n v="93"/>
  </r>
  <r>
    <x v="4"/>
    <x v="5"/>
    <x v="7"/>
    <d v="2022-04-27T00:00:00"/>
    <x v="3"/>
    <s v="2022"/>
    <x v="3"/>
    <s v="$8,757 "/>
    <n v="338"/>
  </r>
  <r>
    <x v="16"/>
    <x v="5"/>
    <x v="16"/>
    <d v="2022-08-12T00:00:00"/>
    <x v="1"/>
    <s v="2022"/>
    <x v="4"/>
    <s v="$6,055 "/>
    <n v="73"/>
  </r>
  <r>
    <x v="3"/>
    <x v="0"/>
    <x v="19"/>
    <d v="2022-03-11T00:00:00"/>
    <x v="6"/>
    <s v="2022"/>
    <x v="4"/>
    <s v="$721 "/>
    <n v="251"/>
  </r>
  <r>
    <x v="0"/>
    <x v="0"/>
    <x v="13"/>
    <d v="2022-05-13T00:00:00"/>
    <x v="7"/>
    <s v="2022"/>
    <x v="4"/>
    <s v="$8,589 "/>
    <n v="229"/>
  </r>
  <r>
    <x v="17"/>
    <x v="4"/>
    <x v="3"/>
    <d v="2022-05-12T00:00:00"/>
    <x v="7"/>
    <s v="2022"/>
    <x v="2"/>
    <s v="$11,781 "/>
    <n v="91"/>
  </r>
  <r>
    <x v="6"/>
    <x v="4"/>
    <x v="17"/>
    <d v="2022-01-12T00:00:00"/>
    <x v="0"/>
    <s v="2022"/>
    <x v="3"/>
    <s v="$672 "/>
    <n v="194"/>
  </r>
  <r>
    <x v="22"/>
    <x v="3"/>
    <x v="11"/>
    <d v="2022-03-29T00:00:00"/>
    <x v="6"/>
    <s v="2022"/>
    <x v="0"/>
    <s v="$12,558 "/>
    <n v="403"/>
  </r>
  <r>
    <x v="13"/>
    <x v="1"/>
    <x v="6"/>
    <d v="2022-03-14T00:00:00"/>
    <x v="6"/>
    <s v="2022"/>
    <x v="1"/>
    <s v="$8,337 "/>
    <n v="12"/>
  </r>
  <r>
    <x v="8"/>
    <x v="3"/>
    <x v="4"/>
    <d v="2022-05-24T00:00:00"/>
    <x v="7"/>
    <s v="2022"/>
    <x v="0"/>
    <s v="$8,134 "/>
    <n v="195"/>
  </r>
  <r>
    <x v="17"/>
    <x v="5"/>
    <x v="10"/>
    <d v="2022-01-28T00:00:00"/>
    <x v="0"/>
    <s v="2022"/>
    <x v="4"/>
    <s v="$8,491 "/>
    <n v="75"/>
  </r>
  <r>
    <x v="12"/>
    <x v="1"/>
    <x v="16"/>
    <d v="2022-05-24T00:00:00"/>
    <x v="7"/>
    <s v="2022"/>
    <x v="0"/>
    <s v="$3,066 "/>
    <n v="96"/>
  </r>
  <r>
    <x v="6"/>
    <x v="2"/>
    <x v="2"/>
    <d v="2022-08-19T00:00:00"/>
    <x v="1"/>
    <s v="2022"/>
    <x v="4"/>
    <s v="$301 "/>
    <n v="205"/>
  </r>
  <r>
    <x v="10"/>
    <x v="2"/>
    <x v="12"/>
    <d v="2022-05-17T00:00:00"/>
    <x v="7"/>
    <s v="2022"/>
    <x v="0"/>
    <s v="$4,410 "/>
    <n v="323"/>
  </r>
  <r>
    <x v="0"/>
    <x v="4"/>
    <x v="14"/>
    <d v="2022-06-07T00:00:00"/>
    <x v="5"/>
    <s v="2022"/>
    <x v="0"/>
    <s v="$6,559 "/>
    <n v="119"/>
  </r>
  <r>
    <x v="24"/>
    <x v="5"/>
    <x v="10"/>
    <d v="2022-07-26T00:00:00"/>
    <x v="2"/>
    <s v="2022"/>
    <x v="0"/>
    <s v="$574 "/>
    <n v="217"/>
  </r>
  <r>
    <x v="23"/>
    <x v="1"/>
    <x v="8"/>
    <d v="2022-07-28T00:00:00"/>
    <x v="2"/>
    <s v="2022"/>
    <x v="2"/>
    <s v="$2,086 "/>
    <n v="384"/>
  </r>
  <r>
    <x v="10"/>
    <x v="1"/>
    <x v="21"/>
    <d v="2022-05-23T00:00:00"/>
    <x v="7"/>
    <s v="2022"/>
    <x v="1"/>
    <s v="$5,075 "/>
    <n v="3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1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7">
  <location ref="X8:X9" firstHeaderRow="1" firstDataRow="1" firstDataCol="0"/>
  <pivotFields count="9">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items count="7">
        <item x="2"/>
        <item x="5"/>
        <item x="1"/>
        <item x="3"/>
        <item x="0"/>
        <item x="4"/>
        <item t="default"/>
      </items>
    </pivotField>
    <pivotField showAll="0" measureFilter="1">
      <items count="23">
        <item x="6"/>
        <item x="21"/>
        <item x="1"/>
        <item x="4"/>
        <item x="5"/>
        <item x="16"/>
        <item x="19"/>
        <item x="20"/>
        <item x="18"/>
        <item x="9"/>
        <item x="8"/>
        <item x="13"/>
        <item x="15"/>
        <item x="11"/>
        <item x="0"/>
        <item x="7"/>
        <item x="10"/>
        <item x="2"/>
        <item x="17"/>
        <item x="3"/>
        <item x="12"/>
        <item x="14"/>
        <item t="default"/>
      </items>
    </pivotField>
    <pivotField numFmtId="15" showAll="0"/>
    <pivotField showAll="0" sortType="descending">
      <items count="9">
        <item x="0"/>
        <item x="4"/>
        <item x="6"/>
        <item h="1" x="3"/>
        <item h="1" x="7"/>
        <item h="1" x="5"/>
        <item h="1" x="2"/>
        <item h="1" x="1"/>
        <item t="default"/>
      </items>
      <autoSortScope>
        <pivotArea dataOnly="0" outline="0" fieldPosition="0">
          <references count="1">
            <reference field="4294967294" count="1" selected="0">
              <x v="0"/>
            </reference>
          </references>
        </pivotArea>
      </autoSortScope>
    </pivotField>
    <pivotField showAll="0"/>
    <pivotField showAll="0">
      <items count="6">
        <item x="1"/>
        <item x="0"/>
        <item x="3"/>
        <item x="2"/>
        <item x="4"/>
        <item t="default"/>
      </items>
    </pivotField>
    <pivotField showAll="0"/>
    <pivotField dataField="1" showAll="0"/>
  </pivotFields>
  <rowItems count="1">
    <i/>
  </rowItems>
  <colItems count="1">
    <i/>
  </colItems>
  <dataFields count="1">
    <dataField name="Count of Boxes Shipped" fld="8" subtotal="count" baseField="0" baseItem="9"/>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3:B28" firstHeaderRow="1" firstDataRow="1" firstDataCol="1"/>
  <pivotFields count="9">
    <pivotField axis="axisRow"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items count="7">
        <item x="2"/>
        <item x="5"/>
        <item x="1"/>
        <item x="3"/>
        <item x="0"/>
        <item x="4"/>
        <item t="default"/>
      </items>
    </pivotField>
    <pivotField showAll="0"/>
    <pivotField numFmtId="15" showAll="0"/>
    <pivotField showAll="0">
      <items count="9">
        <item x="0"/>
        <item x="4"/>
        <item x="6"/>
        <item h="1" x="3"/>
        <item h="1" x="7"/>
        <item h="1" x="5"/>
        <item h="1" x="2"/>
        <item h="1" x="1"/>
        <item t="default"/>
      </items>
    </pivotField>
    <pivotField showAll="0"/>
    <pivotField showAll="0">
      <items count="6">
        <item x="1"/>
        <item x="0"/>
        <item x="3"/>
        <item x="2"/>
        <item x="4"/>
        <item t="default"/>
      </items>
    </pivotField>
    <pivotField showAll="0"/>
    <pivotField dataField="1" showAl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x v="24"/>
    </i>
  </rowItems>
  <colItems count="1">
    <i/>
  </colItems>
  <dataFields count="1">
    <dataField name="Sum of Boxes Shipped" fld="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0"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7">
  <location ref="X3:X4" firstHeaderRow="1" firstDataRow="1" firstDataCol="0"/>
  <pivotFields count="9">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items count="7">
        <item x="2"/>
        <item x="5"/>
        <item x="1"/>
        <item x="3"/>
        <item x="0"/>
        <item x="4"/>
        <item t="default"/>
      </items>
    </pivotField>
    <pivotField showAll="0" measureFilter="1">
      <items count="23">
        <item x="6"/>
        <item x="21"/>
        <item x="1"/>
        <item x="4"/>
        <item x="5"/>
        <item x="16"/>
        <item x="19"/>
        <item x="20"/>
        <item x="18"/>
        <item x="9"/>
        <item x="8"/>
        <item x="13"/>
        <item x="15"/>
        <item x="11"/>
        <item x="0"/>
        <item x="7"/>
        <item x="10"/>
        <item x="2"/>
        <item x="17"/>
        <item x="3"/>
        <item x="12"/>
        <item x="14"/>
        <item t="default"/>
      </items>
    </pivotField>
    <pivotField numFmtId="15" showAll="0"/>
    <pivotField showAll="0" sortType="descending">
      <items count="9">
        <item x="0"/>
        <item x="4"/>
        <item x="6"/>
        <item h="1" x="3"/>
        <item h="1" x="7"/>
        <item h="1" x="5"/>
        <item h="1" x="2"/>
        <item h="1" x="1"/>
        <item t="default"/>
      </items>
      <autoSortScope>
        <pivotArea dataOnly="0" outline="0" fieldPosition="0">
          <references count="1">
            <reference field="4294967294" count="1" selected="0">
              <x v="0"/>
            </reference>
          </references>
        </pivotArea>
      </autoSortScope>
    </pivotField>
    <pivotField showAll="0"/>
    <pivotField showAll="0">
      <items count="6">
        <item x="1"/>
        <item x="0"/>
        <item x="3"/>
        <item x="2"/>
        <item x="4"/>
        <item t="default"/>
      </items>
    </pivotField>
    <pivotField showAll="0"/>
    <pivotField dataField="1" showAll="0"/>
  </pivotFields>
  <rowItems count="1">
    <i/>
  </rowItems>
  <colItems count="1">
    <i/>
  </colItems>
  <dataFields count="1">
    <dataField name="Sum of Boxes Shipped" fld="8" baseField="0" baseItem="9"/>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8"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9">
  <location ref="M3:N9" firstHeaderRow="1" firstDataRow="1" firstDataCol="1"/>
  <pivotFields count="9">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axis="axisRow" showAll="0">
      <items count="7">
        <item x="2"/>
        <item x="5"/>
        <item x="1"/>
        <item x="3"/>
        <item x="0"/>
        <item x="4"/>
        <item t="default"/>
      </items>
    </pivotField>
    <pivotField showAll="0" measureFilter="1">
      <items count="23">
        <item x="6"/>
        <item x="21"/>
        <item x="1"/>
        <item x="4"/>
        <item x="5"/>
        <item x="16"/>
        <item x="19"/>
        <item x="20"/>
        <item x="18"/>
        <item x="9"/>
        <item x="8"/>
        <item x="13"/>
        <item x="15"/>
        <item x="11"/>
        <item x="0"/>
        <item x="7"/>
        <item x="10"/>
        <item x="2"/>
        <item x="17"/>
        <item x="3"/>
        <item x="12"/>
        <item x="14"/>
        <item t="default"/>
      </items>
    </pivotField>
    <pivotField numFmtId="15" showAll="0"/>
    <pivotField showAll="0" sortType="descending">
      <items count="9">
        <item x="0"/>
        <item x="4"/>
        <item x="6"/>
        <item h="1" x="3"/>
        <item h="1" x="7"/>
        <item h="1" x="5"/>
        <item h="1" x="2"/>
        <item h="1" x="1"/>
        <item t="default"/>
      </items>
      <autoSortScope>
        <pivotArea dataOnly="0" outline="0" fieldPosition="0">
          <references count="1">
            <reference field="4294967294" count="1" selected="0">
              <x v="0"/>
            </reference>
          </references>
        </pivotArea>
      </autoSortScope>
    </pivotField>
    <pivotField showAll="0"/>
    <pivotField showAll="0">
      <items count="6">
        <item x="1"/>
        <item x="0"/>
        <item x="3"/>
        <item x="2"/>
        <item x="4"/>
        <item t="default"/>
      </items>
    </pivotField>
    <pivotField showAll="0"/>
    <pivotField dataField="1" showAll="0"/>
  </pivotFields>
  <rowFields count="1">
    <field x="1"/>
  </rowFields>
  <rowItems count="6">
    <i>
      <x/>
    </i>
    <i>
      <x v="1"/>
    </i>
    <i>
      <x v="2"/>
    </i>
    <i>
      <x v="3"/>
    </i>
    <i>
      <x v="4"/>
    </i>
    <i>
      <x v="5"/>
    </i>
  </rowItems>
  <colItems count="1">
    <i/>
  </colItems>
  <dataFields count="1">
    <dataField name="Sum of Boxes Shipped" fld="8" baseField="0" baseItem="9"/>
  </dataFields>
  <chartFormats count="10">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8" format="14" series="1">
      <pivotArea type="data" outline="0" fieldPosition="0">
        <references count="1">
          <reference field="4294967294" count="1" selected="0">
            <x v="0"/>
          </reference>
        </references>
      </pivotArea>
    </chartFormat>
    <chartFormat chart="8" format="15">
      <pivotArea type="data" outline="0" fieldPosition="0">
        <references count="2">
          <reference field="4294967294" count="1" selected="0">
            <x v="0"/>
          </reference>
          <reference field="1" count="1" selected="0">
            <x v="0"/>
          </reference>
        </references>
      </pivotArea>
    </chartFormat>
    <chartFormat chart="8" format="16">
      <pivotArea type="data" outline="0" fieldPosition="0">
        <references count="2">
          <reference field="4294967294" count="1" selected="0">
            <x v="0"/>
          </reference>
          <reference field="1" count="1" selected="0">
            <x v="1"/>
          </reference>
        </references>
      </pivotArea>
    </chartFormat>
    <chartFormat chart="8" format="17">
      <pivotArea type="data" outline="0" fieldPosition="0">
        <references count="2">
          <reference field="4294967294" count="1" selected="0">
            <x v="0"/>
          </reference>
          <reference field="1" count="1" selected="0">
            <x v="2"/>
          </reference>
        </references>
      </pivotArea>
    </chartFormat>
    <chartFormat chart="8" format="18">
      <pivotArea type="data" outline="0" fieldPosition="0">
        <references count="2">
          <reference field="4294967294" count="1" selected="0">
            <x v="0"/>
          </reference>
          <reference field="1" count="1" selected="0">
            <x v="3"/>
          </reference>
        </references>
      </pivotArea>
    </chartFormat>
    <chartFormat chart="8" format="19">
      <pivotArea type="data" outline="0" fieldPosition="0">
        <references count="2">
          <reference field="4294967294" count="1" selected="0">
            <x v="0"/>
          </reference>
          <reference field="1" count="1" selected="0">
            <x v="4"/>
          </reference>
        </references>
      </pivotArea>
    </chartFormat>
    <chartFormat chart="8" format="20">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5"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J3:K6" firstHeaderRow="1" firstDataRow="1" firstDataCol="1"/>
  <pivotFields count="9">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items count="7">
        <item x="2"/>
        <item x="5"/>
        <item x="1"/>
        <item x="3"/>
        <item x="0"/>
        <item x="4"/>
        <item t="default"/>
      </items>
    </pivotField>
    <pivotField showAll="0" measureFilter="1">
      <items count="23">
        <item x="6"/>
        <item x="21"/>
        <item x="1"/>
        <item x="4"/>
        <item x="5"/>
        <item x="16"/>
        <item x="19"/>
        <item x="20"/>
        <item x="18"/>
        <item x="9"/>
        <item x="8"/>
        <item x="13"/>
        <item x="15"/>
        <item x="11"/>
        <item x="0"/>
        <item x="7"/>
        <item x="10"/>
        <item x="2"/>
        <item x="17"/>
        <item x="3"/>
        <item x="12"/>
        <item x="14"/>
        <item t="default"/>
      </items>
    </pivotField>
    <pivotField numFmtId="15" showAll="0"/>
    <pivotField axis="axisRow" showAll="0" sortType="descending">
      <items count="9">
        <item x="0"/>
        <item x="4"/>
        <item x="6"/>
        <item h="1" x="3"/>
        <item h="1" x="7"/>
        <item h="1" x="5"/>
        <item h="1" x="2"/>
        <item h="1" x="1"/>
        <item t="default"/>
      </items>
      <autoSortScope>
        <pivotArea dataOnly="0" outline="0" fieldPosition="0">
          <references count="1">
            <reference field="4294967294" count="1" selected="0">
              <x v="0"/>
            </reference>
          </references>
        </pivotArea>
      </autoSortScope>
    </pivotField>
    <pivotField showAll="0"/>
    <pivotField showAll="0">
      <items count="6">
        <item x="1"/>
        <item x="0"/>
        <item x="3"/>
        <item x="2"/>
        <item x="4"/>
        <item t="default"/>
      </items>
    </pivotField>
    <pivotField showAll="0"/>
    <pivotField dataField="1" showAll="0"/>
  </pivotFields>
  <rowFields count="1">
    <field x="4"/>
  </rowFields>
  <rowItems count="3">
    <i>
      <x/>
    </i>
    <i>
      <x v="2"/>
    </i>
    <i>
      <x v="1"/>
    </i>
  </rowItems>
  <colItems count="1">
    <i/>
  </colItems>
  <dataFields count="1">
    <dataField name="Count of Boxes Shipped" fld="8" subtotal="count" baseField="2"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location ref="G3:H11" firstHeaderRow="1" firstDataRow="1" firstDataCol="1"/>
  <pivotFields count="9">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items count="7">
        <item x="2"/>
        <item x="5"/>
        <item x="1"/>
        <item x="3"/>
        <item x="0"/>
        <item x="4"/>
        <item t="default"/>
      </items>
    </pivotField>
    <pivotField axis="axisRow" showAll="0" measureFilter="1">
      <items count="23">
        <item x="6"/>
        <item x="21"/>
        <item x="1"/>
        <item x="4"/>
        <item x="5"/>
        <item x="16"/>
        <item x="19"/>
        <item x="20"/>
        <item x="18"/>
        <item x="9"/>
        <item x="8"/>
        <item x="13"/>
        <item x="15"/>
        <item x="11"/>
        <item x="0"/>
        <item x="7"/>
        <item x="10"/>
        <item x="2"/>
        <item x="17"/>
        <item x="3"/>
        <item x="12"/>
        <item x="14"/>
        <item t="default"/>
      </items>
    </pivotField>
    <pivotField numFmtId="15" showAll="0"/>
    <pivotField showAll="0">
      <items count="9">
        <item x="0"/>
        <item x="4"/>
        <item x="6"/>
        <item h="1" x="3"/>
        <item h="1" x="7"/>
        <item h="1" x="5"/>
        <item h="1" x="2"/>
        <item h="1" x="1"/>
        <item t="default"/>
      </items>
    </pivotField>
    <pivotField showAll="0"/>
    <pivotField showAll="0">
      <items count="6">
        <item x="1"/>
        <item x="0"/>
        <item x="3"/>
        <item x="2"/>
        <item x="4"/>
        <item t="default"/>
      </items>
    </pivotField>
    <pivotField showAll="0"/>
    <pivotField dataField="1" showAll="0"/>
  </pivotFields>
  <rowFields count="1">
    <field x="2"/>
  </rowFields>
  <rowItems count="8">
    <i>
      <x/>
    </i>
    <i>
      <x v="9"/>
    </i>
    <i>
      <x v="10"/>
    </i>
    <i>
      <x v="16"/>
    </i>
    <i>
      <x v="17"/>
    </i>
    <i>
      <x v="19"/>
    </i>
    <i>
      <x v="20"/>
    </i>
    <i>
      <x v="21"/>
    </i>
  </rowItems>
  <colItems count="1">
    <i/>
  </colItems>
  <dataFields count="1">
    <dataField name="Count of Boxes Shipped" fld="8" subtotal="count" baseField="2"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D3:E9" firstHeaderRow="1" firstDataRow="1" firstDataCol="1"/>
  <pivotFields count="9">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axis="axisRow" showAll="0">
      <items count="7">
        <item x="2"/>
        <item x="5"/>
        <item x="1"/>
        <item x="3"/>
        <item x="0"/>
        <item x="4"/>
        <item t="default"/>
      </items>
    </pivotField>
    <pivotField showAll="0"/>
    <pivotField numFmtId="15" showAll="0"/>
    <pivotField showAll="0">
      <items count="9">
        <item x="0"/>
        <item x="4"/>
        <item x="6"/>
        <item h="1" x="3"/>
        <item h="1" x="7"/>
        <item h="1" x="5"/>
        <item h="1" x="2"/>
        <item h="1" x="1"/>
        <item t="default"/>
      </items>
    </pivotField>
    <pivotField showAll="0"/>
    <pivotField showAll="0">
      <items count="6">
        <item x="1"/>
        <item x="0"/>
        <item x="3"/>
        <item x="2"/>
        <item x="4"/>
        <item t="default"/>
      </items>
    </pivotField>
    <pivotField showAll="0"/>
    <pivotField dataField="1" showAll="0"/>
  </pivotFields>
  <rowFields count="1">
    <field x="1"/>
  </rowFields>
  <rowItems count="6">
    <i>
      <x/>
    </i>
    <i>
      <x v="1"/>
    </i>
    <i>
      <x v="2"/>
    </i>
    <i>
      <x v="3"/>
    </i>
    <i>
      <x v="4"/>
    </i>
    <i>
      <x v="5"/>
    </i>
  </rowItems>
  <colItems count="1">
    <i/>
  </colItems>
  <dataFields count="1">
    <dataField name="Sum of Boxes Shipped" fld="8" baseField="0" baseItem="0"/>
  </dataFields>
  <chartFormats count="8">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 count="1" selected="0">
            <x v="0"/>
          </reference>
        </references>
      </pivotArea>
    </chartFormat>
    <chartFormat chart="3" format="10">
      <pivotArea type="data" outline="0" fieldPosition="0">
        <references count="2">
          <reference field="4294967294" count="1" selected="0">
            <x v="0"/>
          </reference>
          <reference field="1" count="1" selected="0">
            <x v="1"/>
          </reference>
        </references>
      </pivotArea>
    </chartFormat>
    <chartFormat chart="3" format="11">
      <pivotArea type="data" outline="0" fieldPosition="0">
        <references count="2">
          <reference field="4294967294" count="1" selected="0">
            <x v="0"/>
          </reference>
          <reference field="1" count="1" selected="0">
            <x v="2"/>
          </reference>
        </references>
      </pivotArea>
    </chartFormat>
    <chartFormat chart="3" format="12">
      <pivotArea type="data" outline="0" fieldPosition="0">
        <references count="2">
          <reference field="4294967294" count="1" selected="0">
            <x v="0"/>
          </reference>
          <reference field="1" count="1" selected="0">
            <x v="3"/>
          </reference>
        </references>
      </pivotArea>
    </chartFormat>
    <chartFormat chart="3" format="13">
      <pivotArea type="data" outline="0" fieldPosition="0">
        <references count="2">
          <reference field="4294967294" count="1" selected="0">
            <x v="0"/>
          </reference>
          <reference field="1" count="1" selected="0">
            <x v="4"/>
          </reference>
        </references>
      </pivotArea>
    </chartFormat>
    <chartFormat chart="3" format="14">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9"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0">
  <location ref="P3:V29" firstHeaderRow="1" firstDataRow="2" firstDataCol="1"/>
  <pivotFields count="9">
    <pivotField axis="axisRow"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axis="axisCol" showAll="0">
      <items count="7">
        <item x="2"/>
        <item x="5"/>
        <item x="1"/>
        <item x="3"/>
        <item x="0"/>
        <item x="4"/>
        <item t="default"/>
      </items>
    </pivotField>
    <pivotField showAll="0" measureFilter="1">
      <items count="23">
        <item x="6"/>
        <item x="21"/>
        <item x="1"/>
        <item x="4"/>
        <item x="5"/>
        <item x="16"/>
        <item x="19"/>
        <item x="20"/>
        <item x="18"/>
        <item x="9"/>
        <item x="8"/>
        <item x="13"/>
        <item x="15"/>
        <item x="11"/>
        <item x="0"/>
        <item x="7"/>
        <item x="10"/>
        <item x="2"/>
        <item x="17"/>
        <item x="3"/>
        <item x="12"/>
        <item x="14"/>
        <item t="default"/>
      </items>
    </pivotField>
    <pivotField numFmtId="15" showAll="0"/>
    <pivotField showAll="0" sortType="descending">
      <items count="9">
        <item x="0"/>
        <item x="4"/>
        <item x="6"/>
        <item h="1" x="3"/>
        <item h="1" x="7"/>
        <item h="1" x="5"/>
        <item h="1" x="2"/>
        <item h="1" x="1"/>
        <item t="default"/>
      </items>
      <autoSortScope>
        <pivotArea dataOnly="0" outline="0" fieldPosition="0">
          <references count="1">
            <reference field="4294967294" count="1" selected="0">
              <x v="0"/>
            </reference>
          </references>
        </pivotArea>
      </autoSortScope>
    </pivotField>
    <pivotField showAll="0"/>
    <pivotField showAll="0">
      <items count="6">
        <item x="1"/>
        <item x="0"/>
        <item x="3"/>
        <item x="2"/>
        <item x="4"/>
        <item t="default"/>
      </items>
    </pivotField>
    <pivotField showAll="0"/>
    <pivotField dataField="1" showAl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x v="24"/>
    </i>
  </rowItems>
  <colFields count="1">
    <field x="1"/>
  </colFields>
  <colItems count="6">
    <i>
      <x/>
    </i>
    <i>
      <x v="1"/>
    </i>
    <i>
      <x v="2"/>
    </i>
    <i>
      <x v="3"/>
    </i>
    <i>
      <x v="4"/>
    </i>
    <i>
      <x v="5"/>
    </i>
  </colItems>
  <dataFields count="1">
    <dataField name="Sum of Boxes Shipped" fld="8" baseField="0" baseItem="9"/>
  </dataFields>
  <chartFormats count="1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 count="1" selected="0">
            <x v="5"/>
          </reference>
        </references>
      </pivotArea>
    </chartFormat>
    <chartFormat chart="6" format="2">
      <pivotArea type="data" outline="0" fieldPosition="0">
        <references count="2">
          <reference field="4294967294" count="1" selected="0">
            <x v="0"/>
          </reference>
          <reference field="1" count="1" selected="0">
            <x v="0"/>
          </reference>
        </references>
      </pivotArea>
    </chartFormat>
    <chartFormat chart="6" format="3">
      <pivotArea type="data" outline="0" fieldPosition="0">
        <references count="2">
          <reference field="4294967294" count="1" selected="0">
            <x v="0"/>
          </reference>
          <reference field="1" count="1" selected="0">
            <x v="3"/>
          </reference>
        </references>
      </pivotArea>
    </chartFormat>
    <chartFormat chart="6" format="4">
      <pivotArea type="data" outline="0" fieldPosition="0">
        <references count="2">
          <reference field="4294967294" count="1" selected="0">
            <x v="0"/>
          </reference>
          <reference field="1" count="1" selected="0">
            <x v="2"/>
          </reference>
        </references>
      </pivotArea>
    </chartFormat>
    <chartFormat chart="6" format="5">
      <pivotArea type="data" outline="0" fieldPosition="0">
        <references count="2">
          <reference field="4294967294" count="1" selected="0">
            <x v="0"/>
          </reference>
          <reference field="1" count="1" selected="0">
            <x v="1"/>
          </reference>
        </references>
      </pivotArea>
    </chartFormat>
    <chartFormat chart="6" format="6">
      <pivotArea type="data" outline="0" fieldPosition="0">
        <references count="2">
          <reference field="4294967294" count="1" selected="0">
            <x v="0"/>
          </reference>
          <reference field="1" count="1" selected="0">
            <x v="4"/>
          </reference>
        </references>
      </pivotArea>
    </chartFormat>
    <chartFormat chart="9" format="12" series="1">
      <pivotArea type="data" outline="0" fieldPosition="0">
        <references count="2">
          <reference field="4294967294" count="1" selected="0">
            <x v="0"/>
          </reference>
          <reference field="1" count="1" selected="0">
            <x v="0"/>
          </reference>
        </references>
      </pivotArea>
    </chartFormat>
    <chartFormat chart="9" format="13" series="1">
      <pivotArea type="data" outline="0" fieldPosition="0">
        <references count="2">
          <reference field="4294967294" count="1" selected="0">
            <x v="0"/>
          </reference>
          <reference field="1" count="1" selected="0">
            <x v="1"/>
          </reference>
        </references>
      </pivotArea>
    </chartFormat>
    <chartFormat chart="9" format="14" series="1">
      <pivotArea type="data" outline="0" fieldPosition="0">
        <references count="2">
          <reference field="4294967294" count="1" selected="0">
            <x v="0"/>
          </reference>
          <reference field="1" count="1" selected="0">
            <x v="2"/>
          </reference>
        </references>
      </pivotArea>
    </chartFormat>
    <chartFormat chart="9" format="15" series="1">
      <pivotArea type="data" outline="0" fieldPosition="0">
        <references count="2">
          <reference field="4294967294" count="1" selected="0">
            <x v="0"/>
          </reference>
          <reference field="1" count="1" selected="0">
            <x v="3"/>
          </reference>
        </references>
      </pivotArea>
    </chartFormat>
    <chartFormat chart="9" format="16" series="1">
      <pivotArea type="data" outline="0" fieldPosition="0">
        <references count="2">
          <reference field="4294967294" count="1" selected="0">
            <x v="0"/>
          </reference>
          <reference field="1" count="1" selected="0">
            <x v="4"/>
          </reference>
        </references>
      </pivotArea>
    </chartFormat>
    <chartFormat chart="9" format="17" series="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1000000}" sourceName="Month">
  <pivotTables>
    <pivotTable tabId="2" name="PivotTable9"/>
    <pivotTable tabId="2" name="PivotTable1"/>
    <pivotTable tabId="2" name="PivotTable10"/>
    <pivotTable tabId="2" name="PivotTable11"/>
    <pivotTable tabId="2" name="PivotTable2"/>
    <pivotTable tabId="2" name="PivotTable4"/>
    <pivotTable tabId="2" name="PivotTable5"/>
    <pivotTable tabId="2" name="PivotTable8"/>
  </pivotTables>
  <data>
    <tabular pivotCacheId="1073806265">
      <items count="8">
        <i x="0" s="1"/>
        <i x="4" s="1"/>
        <i x="6" s="1"/>
        <i x="3"/>
        <i x="7"/>
        <i x="5"/>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00000000-0013-0000-FFFF-FFFF02000000}" sourceName="Day">
  <pivotTables>
    <pivotTable tabId="2" name="PivotTable9"/>
    <pivotTable tabId="2" name="PivotTable1"/>
    <pivotTable tabId="2" name="PivotTable10"/>
    <pivotTable tabId="2" name="PivotTable11"/>
    <pivotTable tabId="2" name="PivotTable2"/>
    <pivotTable tabId="2" name="PivotTable4"/>
    <pivotTable tabId="2" name="PivotTable5"/>
    <pivotTable tabId="2" name="PivotTable8"/>
  </pivotTables>
  <data>
    <tabular pivotCacheId="1073806265">
      <items count="5">
        <i x="1" s="1"/>
        <i x="0" s="1"/>
        <i x="3"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0000000-0014-0000-FFFF-FFFF01000000}" cache="Slicer_Month" caption="Month" columnCount="4" rowHeight="241300"/>
  <slicer name="Day" xr10:uid="{00000000-0014-0000-FFFF-FFFF02000000}" cache="Slicer_Day" caption="Day" columnCount="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 displayName="Sales" ref="A1:I1095" totalsRowShown="0">
  <autoFilter ref="A1:I1095" xr:uid="{00000000-0009-0000-0100-000001000000}"/>
  <tableColumns count="9">
    <tableColumn id="1" xr3:uid="{00000000-0010-0000-0000-000001000000}" name="Sales Person"/>
    <tableColumn id="2" xr3:uid="{00000000-0010-0000-0000-000002000000}" name="Country"/>
    <tableColumn id="3" xr3:uid="{00000000-0010-0000-0000-000003000000}" name="Product"/>
    <tableColumn id="4" xr3:uid="{00000000-0010-0000-0000-000004000000}" name="Date" dataDxfId="5"/>
    <tableColumn id="7" xr3:uid="{00000000-0010-0000-0000-000007000000}" name="Month" dataDxfId="4">
      <calculatedColumnFormula>TEXT(Sales[[#This Row],[Date]],"mmm")</calculatedColumnFormula>
    </tableColumn>
    <tableColumn id="9" xr3:uid="{00000000-0010-0000-0000-000009000000}" name="Year" dataDxfId="3">
      <calculatedColumnFormula>TEXT(D:D,"yyyy")</calculatedColumnFormula>
    </tableColumn>
    <tableColumn id="8" xr3:uid="{00000000-0010-0000-0000-000008000000}" name="Day" dataDxfId="2">
      <calculatedColumnFormula>TEXT(D:D,"ddd")</calculatedColumnFormula>
    </tableColumn>
    <tableColumn id="5" xr3:uid="{00000000-0010-0000-0000-000005000000}" name="Amount" dataDxfId="1"/>
    <tableColumn id="6" xr3:uid="{00000000-0010-0000-0000-000006000000}" name="Boxes Shipped"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tabSelected="1" zoomScale="90" zoomScaleNormal="90" workbookViewId="0">
      <selection activeCell="V11" sqref="V11"/>
    </sheetView>
  </sheetViews>
  <sheetFormatPr defaultRowHeight="15" x14ac:dyDescent="0.25"/>
  <cols>
    <col min="1" max="16384" width="9.140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X29"/>
  <sheetViews>
    <sheetView topLeftCell="N1" workbookViewId="0">
      <selection activeCell="W10" sqref="W10"/>
    </sheetView>
  </sheetViews>
  <sheetFormatPr defaultRowHeight="15" x14ac:dyDescent="0.25"/>
  <cols>
    <col min="1" max="1" width="19.85546875" bestFit="1" customWidth="1"/>
    <col min="2" max="2" width="20.85546875" bestFit="1" customWidth="1"/>
    <col min="4" max="4" width="13.140625" bestFit="1" customWidth="1"/>
    <col min="5" max="5" width="20.85546875" bestFit="1" customWidth="1"/>
    <col min="7" max="7" width="19.42578125" bestFit="1" customWidth="1"/>
    <col min="8" max="8" width="22.42578125" bestFit="1" customWidth="1"/>
    <col min="10" max="10" width="13.140625" bestFit="1" customWidth="1"/>
    <col min="11" max="11" width="22.42578125" bestFit="1" customWidth="1"/>
    <col min="13" max="13" width="13.140625" bestFit="1" customWidth="1"/>
    <col min="14" max="14" width="20.85546875" bestFit="1" customWidth="1"/>
    <col min="16" max="16" width="20.85546875" bestFit="1" customWidth="1"/>
    <col min="17" max="17" width="16.28515625" bestFit="1" customWidth="1"/>
    <col min="18" max="18" width="7.42578125" bestFit="1" customWidth="1"/>
    <col min="19" max="19" width="5.42578125" bestFit="1" customWidth="1"/>
    <col min="20" max="20" width="12.5703125" bestFit="1" customWidth="1"/>
    <col min="21" max="21" width="5" bestFit="1" customWidth="1"/>
    <col min="22" max="22" width="4.7109375" bestFit="1" customWidth="1"/>
    <col min="23" max="23" width="14" bestFit="1" customWidth="1"/>
    <col min="24" max="24" width="22.42578125" bestFit="1" customWidth="1"/>
    <col min="25" max="25" width="13.42578125" bestFit="1" customWidth="1"/>
    <col min="26" max="26" width="11.7109375" bestFit="1" customWidth="1"/>
    <col min="27" max="27" width="16.140625" bestFit="1" customWidth="1"/>
    <col min="28" max="28" width="12.7109375" bestFit="1" customWidth="1"/>
    <col min="29" max="29" width="12.42578125" bestFit="1" customWidth="1"/>
    <col min="30" max="30" width="14.7109375" bestFit="1" customWidth="1"/>
    <col min="31" max="31" width="11.28515625" bestFit="1" customWidth="1"/>
    <col min="32" max="32" width="16.42578125" bestFit="1" customWidth="1"/>
    <col min="33" max="33" width="13.85546875" bestFit="1" customWidth="1"/>
    <col min="34" max="34" width="16.7109375" bestFit="1" customWidth="1"/>
    <col min="35" max="35" width="15.140625" bestFit="1" customWidth="1"/>
    <col min="36" max="36" width="15.7109375" bestFit="1" customWidth="1"/>
    <col min="37" max="37" width="10.28515625" bestFit="1" customWidth="1"/>
    <col min="38" max="38" width="18" bestFit="1" customWidth="1"/>
    <col min="39" max="39" width="16.28515625" bestFit="1" customWidth="1"/>
    <col min="40" max="40" width="11.85546875" bestFit="1" customWidth="1"/>
    <col min="41" max="41" width="14.28515625" bestFit="1" customWidth="1"/>
  </cols>
  <sheetData>
    <row r="3" spans="1:24" x14ac:dyDescent="0.25">
      <c r="A3" s="2" t="s">
        <v>62</v>
      </c>
      <c r="B3" t="s">
        <v>63</v>
      </c>
      <c r="D3" s="2" t="s">
        <v>62</v>
      </c>
      <c r="E3" t="s">
        <v>63</v>
      </c>
      <c r="G3" s="2" t="s">
        <v>62</v>
      </c>
      <c r="H3" t="s">
        <v>64</v>
      </c>
      <c r="J3" s="2" t="s">
        <v>62</v>
      </c>
      <c r="K3" t="s">
        <v>64</v>
      </c>
      <c r="M3" s="2" t="s">
        <v>62</v>
      </c>
      <c r="N3" t="s">
        <v>63</v>
      </c>
      <c r="P3" s="2" t="s">
        <v>63</v>
      </c>
      <c r="Q3" s="2" t="s">
        <v>73</v>
      </c>
      <c r="X3" t="s">
        <v>63</v>
      </c>
    </row>
    <row r="4" spans="1:24" x14ac:dyDescent="0.25">
      <c r="A4" s="3" t="s">
        <v>48</v>
      </c>
      <c r="B4" s="4">
        <v>2381</v>
      </c>
      <c r="D4" s="3" t="s">
        <v>15</v>
      </c>
      <c r="E4" s="4">
        <v>13393</v>
      </c>
      <c r="G4" s="3" t="s">
        <v>22</v>
      </c>
      <c r="H4" s="4">
        <v>21</v>
      </c>
      <c r="J4" s="3" t="s">
        <v>65</v>
      </c>
      <c r="K4" s="4">
        <v>154</v>
      </c>
      <c r="M4" s="3" t="s">
        <v>15</v>
      </c>
      <c r="N4" s="4">
        <v>13393</v>
      </c>
      <c r="P4" s="2" t="s">
        <v>62</v>
      </c>
      <c r="Q4" t="s">
        <v>15</v>
      </c>
      <c r="R4" t="s">
        <v>29</v>
      </c>
      <c r="S4" t="s">
        <v>10</v>
      </c>
      <c r="T4" t="s">
        <v>21</v>
      </c>
      <c r="U4" t="s">
        <v>7</v>
      </c>
      <c r="V4" t="s">
        <v>26</v>
      </c>
      <c r="X4" s="4">
        <v>65111</v>
      </c>
    </row>
    <row r="5" spans="1:24" x14ac:dyDescent="0.25">
      <c r="A5" s="3" t="s">
        <v>25</v>
      </c>
      <c r="B5" s="4">
        <v>2799</v>
      </c>
      <c r="D5" s="3" t="s">
        <v>29</v>
      </c>
      <c r="E5" s="4">
        <v>11406</v>
      </c>
      <c r="G5" s="3" t="s">
        <v>32</v>
      </c>
      <c r="H5" s="4">
        <v>20</v>
      </c>
      <c r="J5" s="3" t="s">
        <v>67</v>
      </c>
      <c r="K5" s="4">
        <v>131</v>
      </c>
      <c r="M5" s="3" t="s">
        <v>29</v>
      </c>
      <c r="N5" s="4">
        <v>11406</v>
      </c>
      <c r="P5" s="3" t="s">
        <v>48</v>
      </c>
      <c r="Q5" s="4">
        <v>377</v>
      </c>
      <c r="R5" s="4">
        <v>900</v>
      </c>
      <c r="S5" s="4">
        <v>359</v>
      </c>
      <c r="T5" s="4">
        <v>452</v>
      </c>
      <c r="U5" s="4">
        <v>293</v>
      </c>
      <c r="V5" s="4"/>
    </row>
    <row r="6" spans="1:24" x14ac:dyDescent="0.25">
      <c r="A6" s="3" t="s">
        <v>34</v>
      </c>
      <c r="B6" s="4">
        <v>3657</v>
      </c>
      <c r="D6" s="3" t="s">
        <v>10</v>
      </c>
      <c r="E6" s="4">
        <v>9101</v>
      </c>
      <c r="G6" s="3" t="s">
        <v>30</v>
      </c>
      <c r="H6" s="4">
        <v>25</v>
      </c>
      <c r="J6" s="3" t="s">
        <v>66</v>
      </c>
      <c r="K6" s="4">
        <v>110</v>
      </c>
      <c r="M6" s="3" t="s">
        <v>10</v>
      </c>
      <c r="N6" s="4">
        <v>9101</v>
      </c>
      <c r="P6" s="3" t="s">
        <v>25</v>
      </c>
      <c r="Q6" s="4">
        <v>77</v>
      </c>
      <c r="R6" s="4">
        <v>376</v>
      </c>
      <c r="S6" s="4">
        <v>706</v>
      </c>
      <c r="T6" s="4">
        <v>711</v>
      </c>
      <c r="U6" s="4">
        <v>495</v>
      </c>
      <c r="V6" s="4">
        <v>434</v>
      </c>
      <c r="X6">
        <f>GETPIVOTDATA("Boxes Shipped",$X$3)</f>
        <v>65111</v>
      </c>
    </row>
    <row r="7" spans="1:24" x14ac:dyDescent="0.25">
      <c r="A7" s="3" t="s">
        <v>23</v>
      </c>
      <c r="B7" s="4">
        <v>2345</v>
      </c>
      <c r="D7" s="3" t="s">
        <v>21</v>
      </c>
      <c r="E7" s="4">
        <v>11894</v>
      </c>
      <c r="G7" s="3" t="s">
        <v>35</v>
      </c>
      <c r="H7" s="4">
        <v>23</v>
      </c>
      <c r="M7" s="3" t="s">
        <v>21</v>
      </c>
      <c r="N7" s="4">
        <v>11894</v>
      </c>
      <c r="P7" s="3" t="s">
        <v>34</v>
      </c>
      <c r="Q7" s="4">
        <v>823</v>
      </c>
      <c r="R7" s="4">
        <v>940</v>
      </c>
      <c r="S7" s="4">
        <v>261</v>
      </c>
      <c r="T7" s="4">
        <v>555</v>
      </c>
      <c r="U7" s="4">
        <v>592</v>
      </c>
      <c r="V7" s="4">
        <v>486</v>
      </c>
    </row>
    <row r="8" spans="1:24" x14ac:dyDescent="0.25">
      <c r="A8" s="3" t="s">
        <v>50</v>
      </c>
      <c r="B8" s="4">
        <v>1340</v>
      </c>
      <c r="D8" s="3" t="s">
        <v>7</v>
      </c>
      <c r="E8" s="4">
        <v>10351</v>
      </c>
      <c r="G8" s="3" t="s">
        <v>13</v>
      </c>
      <c r="H8" s="4">
        <v>20</v>
      </c>
      <c r="M8" s="3" t="s">
        <v>7</v>
      </c>
      <c r="N8" s="4">
        <v>10351</v>
      </c>
      <c r="P8" s="3" t="s">
        <v>23</v>
      </c>
      <c r="Q8" s="4">
        <v>212</v>
      </c>
      <c r="R8" s="4">
        <v>538</v>
      </c>
      <c r="S8" s="4">
        <v>602</v>
      </c>
      <c r="T8" s="4">
        <v>340</v>
      </c>
      <c r="U8" s="4">
        <v>312</v>
      </c>
      <c r="V8" s="4">
        <v>341</v>
      </c>
      <c r="X8" t="s">
        <v>64</v>
      </c>
    </row>
    <row r="9" spans="1:24" x14ac:dyDescent="0.25">
      <c r="A9" s="3" t="s">
        <v>55</v>
      </c>
      <c r="B9" s="4">
        <v>3282</v>
      </c>
      <c r="D9" s="3" t="s">
        <v>26</v>
      </c>
      <c r="E9" s="4">
        <v>8966</v>
      </c>
      <c r="G9" s="3" t="s">
        <v>16</v>
      </c>
      <c r="H9" s="4">
        <v>27</v>
      </c>
      <c r="M9" s="3" t="s">
        <v>26</v>
      </c>
      <c r="N9" s="4">
        <v>8966</v>
      </c>
      <c r="P9" s="3" t="s">
        <v>50</v>
      </c>
      <c r="Q9" s="4">
        <v>388</v>
      </c>
      <c r="R9" s="4">
        <v>318</v>
      </c>
      <c r="S9" s="4"/>
      <c r="T9" s="4">
        <v>24</v>
      </c>
      <c r="U9" s="4">
        <v>187</v>
      </c>
      <c r="V9" s="4">
        <v>423</v>
      </c>
      <c r="X9" s="4">
        <v>395</v>
      </c>
    </row>
    <row r="10" spans="1:24" x14ac:dyDescent="0.25">
      <c r="A10" s="3" t="s">
        <v>38</v>
      </c>
      <c r="B10" s="4">
        <v>2914</v>
      </c>
      <c r="G10" s="3" t="s">
        <v>39</v>
      </c>
      <c r="H10" s="4">
        <v>20</v>
      </c>
      <c r="P10" s="3" t="s">
        <v>55</v>
      </c>
      <c r="Q10" s="4">
        <v>649</v>
      </c>
      <c r="R10" s="4">
        <v>664</v>
      </c>
      <c r="S10" s="4">
        <v>659</v>
      </c>
      <c r="T10" s="4">
        <v>651</v>
      </c>
      <c r="U10" s="4">
        <v>226</v>
      </c>
      <c r="V10" s="4">
        <v>433</v>
      </c>
    </row>
    <row r="11" spans="1:24" x14ac:dyDescent="0.25">
      <c r="A11" s="3" t="s">
        <v>43</v>
      </c>
      <c r="B11" s="4">
        <v>3812</v>
      </c>
      <c r="G11" s="3" t="s">
        <v>44</v>
      </c>
      <c r="H11" s="4">
        <v>20</v>
      </c>
      <c r="P11" s="3" t="s">
        <v>38</v>
      </c>
      <c r="Q11" s="4">
        <v>297</v>
      </c>
      <c r="R11" s="4">
        <v>99</v>
      </c>
      <c r="S11" s="4">
        <v>498</v>
      </c>
      <c r="T11" s="4">
        <v>1253</v>
      </c>
      <c r="U11" s="4">
        <v>486</v>
      </c>
      <c r="V11" s="4">
        <v>281</v>
      </c>
      <c r="X11">
        <f>GETPIVOTDATA("Boxes Shipped",$X$8)</f>
        <v>395</v>
      </c>
    </row>
    <row r="12" spans="1:24" x14ac:dyDescent="0.25">
      <c r="A12" s="3" t="s">
        <v>54</v>
      </c>
      <c r="B12" s="4">
        <v>1526</v>
      </c>
      <c r="P12" s="3" t="s">
        <v>43</v>
      </c>
      <c r="Q12" s="4">
        <v>578</v>
      </c>
      <c r="R12" s="4">
        <v>741</v>
      </c>
      <c r="S12" s="4">
        <v>483</v>
      </c>
      <c r="T12" s="4">
        <v>566</v>
      </c>
      <c r="U12" s="4">
        <v>1110</v>
      </c>
      <c r="V12" s="4">
        <v>334</v>
      </c>
    </row>
    <row r="13" spans="1:24" x14ac:dyDescent="0.25">
      <c r="A13" s="3" t="s">
        <v>12</v>
      </c>
      <c r="B13" s="4">
        <v>1991</v>
      </c>
      <c r="J13" s="3" t="s">
        <v>70</v>
      </c>
      <c r="K13" s="4">
        <v>163</v>
      </c>
      <c r="P13" s="3" t="s">
        <v>54</v>
      </c>
      <c r="Q13" s="4">
        <v>94</v>
      </c>
      <c r="R13" s="4">
        <v>237</v>
      </c>
      <c r="S13" s="4">
        <v>73</v>
      </c>
      <c r="T13" s="4">
        <v>439</v>
      </c>
      <c r="U13" s="4">
        <v>282</v>
      </c>
      <c r="V13" s="4">
        <v>401</v>
      </c>
    </row>
    <row r="14" spans="1:24" x14ac:dyDescent="0.25">
      <c r="A14" s="3" t="s">
        <v>19</v>
      </c>
      <c r="B14" s="4">
        <v>2632</v>
      </c>
      <c r="J14" s="3" t="s">
        <v>65</v>
      </c>
      <c r="K14" s="4">
        <v>154</v>
      </c>
      <c r="P14" s="3" t="s">
        <v>12</v>
      </c>
      <c r="Q14" s="4">
        <v>578</v>
      </c>
      <c r="R14" s="4">
        <v>212</v>
      </c>
      <c r="S14" s="4">
        <v>159</v>
      </c>
      <c r="T14" s="4">
        <v>278</v>
      </c>
      <c r="U14" s="4">
        <v>184</v>
      </c>
      <c r="V14" s="4">
        <v>580</v>
      </c>
    </row>
    <row r="15" spans="1:24" x14ac:dyDescent="0.25">
      <c r="A15" s="3" t="s">
        <v>40</v>
      </c>
      <c r="B15" s="4">
        <v>2359</v>
      </c>
      <c r="J15" s="3" t="s">
        <v>71</v>
      </c>
      <c r="K15" s="4">
        <v>149</v>
      </c>
      <c r="P15" s="3" t="s">
        <v>19</v>
      </c>
      <c r="Q15" s="4">
        <v>880</v>
      </c>
      <c r="R15" s="4">
        <v>226</v>
      </c>
      <c r="S15" s="4">
        <v>594</v>
      </c>
      <c r="T15" s="4">
        <v>129</v>
      </c>
      <c r="U15" s="4">
        <v>553</v>
      </c>
      <c r="V15" s="4">
        <v>250</v>
      </c>
    </row>
    <row r="16" spans="1:24" x14ac:dyDescent="0.25">
      <c r="A16" s="3" t="s">
        <v>14</v>
      </c>
      <c r="B16" s="4">
        <v>2046</v>
      </c>
      <c r="J16" s="3" t="s">
        <v>69</v>
      </c>
      <c r="K16" s="4">
        <v>135</v>
      </c>
      <c r="P16" s="3" t="s">
        <v>40</v>
      </c>
      <c r="Q16" s="4">
        <v>303</v>
      </c>
      <c r="R16" s="4">
        <v>819</v>
      </c>
      <c r="S16" s="4">
        <v>58</v>
      </c>
      <c r="T16" s="4">
        <v>711</v>
      </c>
      <c r="U16" s="4">
        <v>301</v>
      </c>
      <c r="V16" s="4">
        <v>167</v>
      </c>
    </row>
    <row r="17" spans="1:22" x14ac:dyDescent="0.25">
      <c r="A17" s="3" t="s">
        <v>6</v>
      </c>
      <c r="B17" s="4">
        <v>3195</v>
      </c>
      <c r="J17" s="3" t="s">
        <v>72</v>
      </c>
      <c r="K17" s="4">
        <v>134</v>
      </c>
      <c r="P17" s="3" t="s">
        <v>14</v>
      </c>
      <c r="Q17" s="4">
        <v>511</v>
      </c>
      <c r="R17" s="4">
        <v>305</v>
      </c>
      <c r="S17" s="4">
        <v>395</v>
      </c>
      <c r="T17" s="4">
        <v>291</v>
      </c>
      <c r="U17" s="4">
        <v>544</v>
      </c>
      <c r="V17" s="4"/>
    </row>
    <row r="18" spans="1:22" x14ac:dyDescent="0.25">
      <c r="A18" s="3" t="s">
        <v>41</v>
      </c>
      <c r="B18" s="4">
        <v>2956</v>
      </c>
      <c r="J18" s="3" t="s">
        <v>67</v>
      </c>
      <c r="K18" s="4">
        <v>131</v>
      </c>
      <c r="P18" s="3" t="s">
        <v>6</v>
      </c>
      <c r="Q18" s="4">
        <v>1167</v>
      </c>
      <c r="R18" s="4">
        <v>175</v>
      </c>
      <c r="S18" s="4">
        <v>369</v>
      </c>
      <c r="T18" s="4">
        <v>330</v>
      </c>
      <c r="U18" s="4">
        <v>802</v>
      </c>
      <c r="V18" s="4">
        <v>352</v>
      </c>
    </row>
    <row r="19" spans="1:22" x14ac:dyDescent="0.25">
      <c r="A19" s="3" t="s">
        <v>31</v>
      </c>
      <c r="B19" s="4">
        <v>3183</v>
      </c>
      <c r="J19" s="3" t="s">
        <v>68</v>
      </c>
      <c r="K19" s="4">
        <v>118</v>
      </c>
      <c r="P19" s="3" t="s">
        <v>41</v>
      </c>
      <c r="Q19" s="4">
        <v>1280</v>
      </c>
      <c r="R19" s="4">
        <v>316</v>
      </c>
      <c r="S19" s="4">
        <v>301</v>
      </c>
      <c r="T19" s="4">
        <v>86</v>
      </c>
      <c r="U19" s="4">
        <v>763</v>
      </c>
      <c r="V19" s="4">
        <v>210</v>
      </c>
    </row>
    <row r="20" spans="1:22" x14ac:dyDescent="0.25">
      <c r="A20" s="3" t="s">
        <v>49</v>
      </c>
      <c r="B20" s="4">
        <v>3546</v>
      </c>
      <c r="J20" s="3" t="s">
        <v>66</v>
      </c>
      <c r="K20" s="4">
        <v>110</v>
      </c>
      <c r="P20" s="3" t="s">
        <v>31</v>
      </c>
      <c r="Q20" s="4">
        <v>924</v>
      </c>
      <c r="R20" s="4">
        <v>488</v>
      </c>
      <c r="S20" s="4">
        <v>636</v>
      </c>
      <c r="T20" s="4">
        <v>423</v>
      </c>
      <c r="U20" s="4">
        <v>585</v>
      </c>
      <c r="V20" s="4">
        <v>127</v>
      </c>
    </row>
    <row r="21" spans="1:22" x14ac:dyDescent="0.25">
      <c r="A21" s="3" t="s">
        <v>53</v>
      </c>
      <c r="B21" s="4">
        <v>3117</v>
      </c>
      <c r="P21" s="3" t="s">
        <v>49</v>
      </c>
      <c r="Q21" s="4">
        <v>960</v>
      </c>
      <c r="R21" s="4">
        <v>316</v>
      </c>
      <c r="S21" s="4">
        <v>802</v>
      </c>
      <c r="T21" s="4">
        <v>388</v>
      </c>
      <c r="U21" s="4">
        <v>232</v>
      </c>
      <c r="V21" s="4">
        <v>848</v>
      </c>
    </row>
    <row r="22" spans="1:22" x14ac:dyDescent="0.25">
      <c r="A22" s="3" t="s">
        <v>28</v>
      </c>
      <c r="B22" s="4">
        <v>2544</v>
      </c>
      <c r="P22" s="3" t="s">
        <v>53</v>
      </c>
      <c r="Q22" s="4">
        <v>500</v>
      </c>
      <c r="R22" s="4">
        <v>242</v>
      </c>
      <c r="S22" s="4">
        <v>183</v>
      </c>
      <c r="T22" s="4">
        <v>1005</v>
      </c>
      <c r="U22" s="4">
        <v>557</v>
      </c>
      <c r="V22" s="4">
        <v>630</v>
      </c>
    </row>
    <row r="23" spans="1:22" x14ac:dyDescent="0.25">
      <c r="A23" s="3" t="s">
        <v>33</v>
      </c>
      <c r="B23" s="4">
        <v>3986</v>
      </c>
      <c r="P23" s="3" t="s">
        <v>28</v>
      </c>
      <c r="Q23" s="4">
        <v>476</v>
      </c>
      <c r="R23" s="4">
        <v>746</v>
      </c>
      <c r="S23" s="4">
        <v>144</v>
      </c>
      <c r="T23" s="4">
        <v>376</v>
      </c>
      <c r="U23" s="4">
        <v>383</v>
      </c>
      <c r="V23" s="4">
        <v>419</v>
      </c>
    </row>
    <row r="24" spans="1:22" x14ac:dyDescent="0.25">
      <c r="A24" s="3" t="s">
        <v>17</v>
      </c>
      <c r="B24" s="4">
        <v>2939</v>
      </c>
      <c r="P24" s="3" t="s">
        <v>33</v>
      </c>
      <c r="Q24" s="4">
        <v>271</v>
      </c>
      <c r="R24" s="4">
        <v>1775</v>
      </c>
      <c r="S24" s="4">
        <v>323</v>
      </c>
      <c r="T24" s="4">
        <v>742</v>
      </c>
      <c r="U24" s="4">
        <v>222</v>
      </c>
      <c r="V24" s="4">
        <v>653</v>
      </c>
    </row>
    <row r="25" spans="1:22" x14ac:dyDescent="0.25">
      <c r="A25" s="3" t="s">
        <v>24</v>
      </c>
      <c r="B25" s="4">
        <v>1797</v>
      </c>
      <c r="P25" s="3" t="s">
        <v>17</v>
      </c>
      <c r="Q25" s="4">
        <v>419</v>
      </c>
      <c r="R25" s="4">
        <v>158</v>
      </c>
      <c r="S25" s="4">
        <v>471</v>
      </c>
      <c r="T25" s="4">
        <v>874</v>
      </c>
      <c r="U25" s="4">
        <v>398</v>
      </c>
      <c r="V25" s="4">
        <v>619</v>
      </c>
    </row>
    <row r="26" spans="1:22" x14ac:dyDescent="0.25">
      <c r="A26" s="3" t="s">
        <v>36</v>
      </c>
      <c r="B26" s="4">
        <v>2142</v>
      </c>
      <c r="P26" s="3" t="s">
        <v>24</v>
      </c>
      <c r="Q26" s="4">
        <v>902</v>
      </c>
      <c r="R26" s="4">
        <v>142</v>
      </c>
      <c r="S26" s="4">
        <v>423</v>
      </c>
      <c r="T26" s="4">
        <v>135</v>
      </c>
      <c r="U26" s="4">
        <v>130</v>
      </c>
      <c r="V26" s="4">
        <v>65</v>
      </c>
    </row>
    <row r="27" spans="1:22" x14ac:dyDescent="0.25">
      <c r="A27" s="3" t="s">
        <v>9</v>
      </c>
      <c r="B27" s="4">
        <v>1503</v>
      </c>
      <c r="P27" s="3" t="s">
        <v>36</v>
      </c>
      <c r="Q27" s="4"/>
      <c r="R27" s="4">
        <v>452</v>
      </c>
      <c r="S27" s="4">
        <v>206</v>
      </c>
      <c r="T27" s="4">
        <v>398</v>
      </c>
      <c r="U27" s="4">
        <v>478</v>
      </c>
      <c r="V27" s="4">
        <v>608</v>
      </c>
    </row>
    <row r="28" spans="1:22" x14ac:dyDescent="0.25">
      <c r="A28" s="3" t="s">
        <v>46</v>
      </c>
      <c r="B28" s="4">
        <v>1119</v>
      </c>
      <c r="P28" s="3" t="s">
        <v>9</v>
      </c>
      <c r="Q28" s="4">
        <v>527</v>
      </c>
      <c r="R28" s="4">
        <v>221</v>
      </c>
      <c r="S28" s="4">
        <v>44</v>
      </c>
      <c r="T28" s="4">
        <v>294</v>
      </c>
      <c r="U28" s="4">
        <v>236</v>
      </c>
      <c r="V28" s="4">
        <v>181</v>
      </c>
    </row>
    <row r="29" spans="1:22" x14ac:dyDescent="0.25">
      <c r="P29" s="3" t="s">
        <v>46</v>
      </c>
      <c r="Q29" s="4">
        <v>200</v>
      </c>
      <c r="R29" s="4"/>
      <c r="S29" s="4">
        <v>352</v>
      </c>
      <c r="T29" s="4">
        <v>443</v>
      </c>
      <c r="U29" s="4"/>
      <c r="V29" s="4">
        <v>124</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95"/>
  <sheetViews>
    <sheetView workbookViewId="0">
      <selection activeCell="J20" sqref="J20"/>
    </sheetView>
  </sheetViews>
  <sheetFormatPr defaultRowHeight="15" x14ac:dyDescent="0.25"/>
  <cols>
    <col min="1" max="1" width="19.85546875" bestFit="1" customWidth="1"/>
    <col min="2" max="2" width="12.5703125" bestFit="1" customWidth="1"/>
    <col min="3" max="3" width="21.85546875" bestFit="1" customWidth="1"/>
    <col min="4" max="4" width="10.140625" bestFit="1" customWidth="1"/>
    <col min="5" max="7" width="10.140625" customWidth="1"/>
    <col min="8" max="8" width="10.28515625" style="5" customWidth="1"/>
    <col min="9" max="9" width="16.140625" customWidth="1"/>
  </cols>
  <sheetData>
    <row r="1" spans="1:9" x14ac:dyDescent="0.25">
      <c r="A1" t="s">
        <v>0</v>
      </c>
      <c r="B1" t="s">
        <v>1</v>
      </c>
      <c r="C1" t="s">
        <v>2</v>
      </c>
      <c r="D1" t="s">
        <v>3</v>
      </c>
      <c r="E1" t="s">
        <v>59</v>
      </c>
      <c r="F1" t="s">
        <v>61</v>
      </c>
      <c r="G1" t="s">
        <v>60</v>
      </c>
      <c r="H1" s="5" t="s">
        <v>4</v>
      </c>
      <c r="I1" t="s">
        <v>5</v>
      </c>
    </row>
    <row r="2" spans="1:9" x14ac:dyDescent="0.25">
      <c r="A2" t="s">
        <v>6</v>
      </c>
      <c r="B2" t="s">
        <v>7</v>
      </c>
      <c r="C2" t="s">
        <v>8</v>
      </c>
      <c r="D2" s="1">
        <v>44565</v>
      </c>
      <c r="E2" s="1" t="str">
        <f>TEXT(Sales[[#This Row],[Date]],"mmm")</f>
        <v>Jan</v>
      </c>
      <c r="F2" s="1" t="str">
        <f t="shared" ref="F2:F65" si="0">TEXT(D:D,"yyyy")</f>
        <v>2022</v>
      </c>
      <c r="G2" s="1" t="str">
        <f t="shared" ref="G2:G65" si="1">TEXT(D:D,"ddd")</f>
        <v>Tue</v>
      </c>
      <c r="H2" s="7">
        <v>5320</v>
      </c>
      <c r="I2" s="6">
        <v>180</v>
      </c>
    </row>
    <row r="3" spans="1:9" x14ac:dyDescent="0.25">
      <c r="A3" t="s">
        <v>9</v>
      </c>
      <c r="B3" t="s">
        <v>10</v>
      </c>
      <c r="C3" t="s">
        <v>11</v>
      </c>
      <c r="D3" s="1">
        <v>44774</v>
      </c>
      <c r="E3" s="1" t="str">
        <f>TEXT(Sales[[#This Row],[Date]],"mmm")</f>
        <v>Aug</v>
      </c>
      <c r="F3" s="1" t="str">
        <f t="shared" si="0"/>
        <v>2022</v>
      </c>
      <c r="G3" s="1" t="str">
        <f t="shared" si="1"/>
        <v>Mon</v>
      </c>
      <c r="H3" s="7">
        <v>7896</v>
      </c>
      <c r="I3" s="6">
        <v>94</v>
      </c>
    </row>
    <row r="4" spans="1:9" x14ac:dyDescent="0.25">
      <c r="A4" t="s">
        <v>12</v>
      </c>
      <c r="B4" t="s">
        <v>10</v>
      </c>
      <c r="C4" t="s">
        <v>13</v>
      </c>
      <c r="D4" s="1">
        <v>44749</v>
      </c>
      <c r="E4" s="1" t="str">
        <f>TEXT(Sales[[#This Row],[Date]],"mmm")</f>
        <v>Jul</v>
      </c>
      <c r="F4" s="1" t="str">
        <f t="shared" si="0"/>
        <v>2022</v>
      </c>
      <c r="G4" s="1" t="str">
        <f t="shared" si="1"/>
        <v>Thu</v>
      </c>
      <c r="H4" s="7">
        <v>4501</v>
      </c>
      <c r="I4" s="6">
        <v>91</v>
      </c>
    </row>
    <row r="5" spans="1:9" x14ac:dyDescent="0.25">
      <c r="A5" t="s">
        <v>14</v>
      </c>
      <c r="B5" t="s">
        <v>15</v>
      </c>
      <c r="C5" t="s">
        <v>13</v>
      </c>
      <c r="D5" s="1">
        <v>44678</v>
      </c>
      <c r="E5" s="1" t="str">
        <f>TEXT(Sales[[#This Row],[Date]],"mmm")</f>
        <v>Apr</v>
      </c>
      <c r="F5" s="1" t="str">
        <f t="shared" si="0"/>
        <v>2022</v>
      </c>
      <c r="G5" s="1" t="str">
        <f t="shared" si="1"/>
        <v>Wed</v>
      </c>
      <c r="H5" s="7">
        <v>12726</v>
      </c>
      <c r="I5" s="6">
        <v>342</v>
      </c>
    </row>
    <row r="6" spans="1:9" x14ac:dyDescent="0.25">
      <c r="A6" t="s">
        <v>6</v>
      </c>
      <c r="B6" t="s">
        <v>7</v>
      </c>
      <c r="C6" t="s">
        <v>13</v>
      </c>
      <c r="D6" s="1">
        <v>44616</v>
      </c>
      <c r="E6" s="1" t="str">
        <f>TEXT(Sales[[#This Row],[Date]],"mmm")</f>
        <v>Feb</v>
      </c>
      <c r="F6" s="1" t="str">
        <f t="shared" si="0"/>
        <v>2022</v>
      </c>
      <c r="G6" s="1" t="str">
        <f t="shared" si="1"/>
        <v>Thu</v>
      </c>
      <c r="H6" s="7">
        <v>13685</v>
      </c>
      <c r="I6" s="6">
        <v>184</v>
      </c>
    </row>
    <row r="7" spans="1:9" x14ac:dyDescent="0.25">
      <c r="A7" t="s">
        <v>9</v>
      </c>
      <c r="B7" t="s">
        <v>10</v>
      </c>
      <c r="C7" t="s">
        <v>16</v>
      </c>
      <c r="D7" s="1">
        <v>44718</v>
      </c>
      <c r="E7" s="1" t="str">
        <f>TEXT(Sales[[#This Row],[Date]],"mmm")</f>
        <v>Jun</v>
      </c>
      <c r="F7" s="1" t="str">
        <f t="shared" si="0"/>
        <v>2022</v>
      </c>
      <c r="G7" s="1" t="str">
        <f t="shared" si="1"/>
        <v>Mon</v>
      </c>
      <c r="H7" s="7">
        <v>5376</v>
      </c>
      <c r="I7" s="6">
        <v>38</v>
      </c>
    </row>
    <row r="8" spans="1:9" x14ac:dyDescent="0.25">
      <c r="A8" t="s">
        <v>17</v>
      </c>
      <c r="B8" t="s">
        <v>7</v>
      </c>
      <c r="C8" t="s">
        <v>18</v>
      </c>
      <c r="D8" s="1">
        <v>44586</v>
      </c>
      <c r="E8" s="1" t="str">
        <f>TEXT(Sales[[#This Row],[Date]],"mmm")</f>
        <v>Jan</v>
      </c>
      <c r="F8" s="1" t="str">
        <f t="shared" si="0"/>
        <v>2022</v>
      </c>
      <c r="G8" s="1" t="str">
        <f t="shared" si="1"/>
        <v>Tue</v>
      </c>
      <c r="H8" s="7">
        <v>13685</v>
      </c>
      <c r="I8" s="6">
        <v>176</v>
      </c>
    </row>
    <row r="9" spans="1:9" x14ac:dyDescent="0.25">
      <c r="A9" t="s">
        <v>19</v>
      </c>
      <c r="B9" t="s">
        <v>15</v>
      </c>
      <c r="C9" t="s">
        <v>20</v>
      </c>
      <c r="D9" s="1">
        <v>44644</v>
      </c>
      <c r="E9" s="1" t="str">
        <f>TEXT(Sales[[#This Row],[Date]],"mmm")</f>
        <v>Mar</v>
      </c>
      <c r="F9" s="1" t="str">
        <f t="shared" si="0"/>
        <v>2022</v>
      </c>
      <c r="G9" s="1" t="str">
        <f t="shared" si="1"/>
        <v>Thu</v>
      </c>
      <c r="H9" s="7">
        <v>3080</v>
      </c>
      <c r="I9" s="6">
        <v>73</v>
      </c>
    </row>
    <row r="10" spans="1:9" x14ac:dyDescent="0.25">
      <c r="A10" t="s">
        <v>6</v>
      </c>
      <c r="B10" t="s">
        <v>21</v>
      </c>
      <c r="C10" t="s">
        <v>22</v>
      </c>
      <c r="D10" s="1">
        <v>44671</v>
      </c>
      <c r="E10" s="1" t="str">
        <f>TEXT(Sales[[#This Row],[Date]],"mmm")</f>
        <v>Apr</v>
      </c>
      <c r="F10" s="1" t="str">
        <f t="shared" si="0"/>
        <v>2022</v>
      </c>
      <c r="G10" s="1" t="str">
        <f t="shared" si="1"/>
        <v>Wed</v>
      </c>
      <c r="H10" s="7">
        <v>3990</v>
      </c>
      <c r="I10" s="6">
        <v>59</v>
      </c>
    </row>
    <row r="11" spans="1:9" x14ac:dyDescent="0.25">
      <c r="A11" t="s">
        <v>23</v>
      </c>
      <c r="B11" t="s">
        <v>15</v>
      </c>
      <c r="C11" t="s">
        <v>18</v>
      </c>
      <c r="D11" s="1">
        <v>44746</v>
      </c>
      <c r="E11" s="1" t="str">
        <f>TEXT(Sales[[#This Row],[Date]],"mmm")</f>
        <v>Jul</v>
      </c>
      <c r="F11" s="1" t="str">
        <f t="shared" si="0"/>
        <v>2022</v>
      </c>
      <c r="G11" s="1" t="str">
        <f t="shared" si="1"/>
        <v>Mon</v>
      </c>
      <c r="H11" s="7">
        <v>2835</v>
      </c>
      <c r="I11" s="6">
        <v>102</v>
      </c>
    </row>
    <row r="12" spans="1:9" x14ac:dyDescent="0.25">
      <c r="A12" t="s">
        <v>24</v>
      </c>
      <c r="B12" t="s">
        <v>7</v>
      </c>
      <c r="C12" t="s">
        <v>16</v>
      </c>
      <c r="D12" s="1">
        <v>44574</v>
      </c>
      <c r="E12" s="1" t="str">
        <f>TEXT(Sales[[#This Row],[Date]],"mmm")</f>
        <v>Jan</v>
      </c>
      <c r="F12" s="1" t="str">
        <f t="shared" si="0"/>
        <v>2022</v>
      </c>
      <c r="G12" s="1" t="str">
        <f t="shared" si="1"/>
        <v>Thu</v>
      </c>
      <c r="H12" s="7">
        <v>4704</v>
      </c>
      <c r="I12" s="6">
        <v>62</v>
      </c>
    </row>
    <row r="13" spans="1:9" x14ac:dyDescent="0.25">
      <c r="A13" t="s">
        <v>25</v>
      </c>
      <c r="B13" t="s">
        <v>26</v>
      </c>
      <c r="C13" t="s">
        <v>27</v>
      </c>
      <c r="D13" s="1">
        <v>44630</v>
      </c>
      <c r="E13" s="1" t="str">
        <f>TEXT(Sales[[#This Row],[Date]],"mmm")</f>
        <v>Mar</v>
      </c>
      <c r="F13" s="1" t="str">
        <f t="shared" si="0"/>
        <v>2022</v>
      </c>
      <c r="G13" s="1" t="str">
        <f t="shared" si="1"/>
        <v>Thu</v>
      </c>
      <c r="H13" s="7">
        <v>3703</v>
      </c>
      <c r="I13" s="6">
        <v>11</v>
      </c>
    </row>
    <row r="14" spans="1:9" x14ac:dyDescent="0.25">
      <c r="A14" t="s">
        <v>28</v>
      </c>
      <c r="B14" t="s">
        <v>29</v>
      </c>
      <c r="C14" t="s">
        <v>30</v>
      </c>
      <c r="D14" s="1">
        <v>44574</v>
      </c>
      <c r="E14" s="1" t="str">
        <f>TEXT(Sales[[#This Row],[Date]],"mmm")</f>
        <v>Jan</v>
      </c>
      <c r="F14" s="1" t="str">
        <f t="shared" si="0"/>
        <v>2022</v>
      </c>
      <c r="G14" s="1" t="str">
        <f t="shared" si="1"/>
        <v>Thu</v>
      </c>
      <c r="H14" s="7">
        <v>1442</v>
      </c>
      <c r="I14" s="6">
        <v>286</v>
      </c>
    </row>
    <row r="15" spans="1:9" x14ac:dyDescent="0.25">
      <c r="A15" t="s">
        <v>31</v>
      </c>
      <c r="B15" t="s">
        <v>21</v>
      </c>
      <c r="C15" t="s">
        <v>32</v>
      </c>
      <c r="D15" s="1">
        <v>44770</v>
      </c>
      <c r="E15" s="1" t="str">
        <f>TEXT(Sales[[#This Row],[Date]],"mmm")</f>
        <v>Jul</v>
      </c>
      <c r="F15" s="1" t="str">
        <f t="shared" si="0"/>
        <v>2022</v>
      </c>
      <c r="G15" s="1" t="str">
        <f t="shared" si="1"/>
        <v>Thu</v>
      </c>
      <c r="H15" s="7">
        <v>168</v>
      </c>
      <c r="I15" s="6">
        <v>156</v>
      </c>
    </row>
    <row r="16" spans="1:9" x14ac:dyDescent="0.25">
      <c r="A16" t="s">
        <v>33</v>
      </c>
      <c r="B16" t="s">
        <v>21</v>
      </c>
      <c r="C16" t="s">
        <v>13</v>
      </c>
      <c r="D16" s="1">
        <v>44776</v>
      </c>
      <c r="E16" s="1" t="str">
        <f>TEXT(Sales[[#This Row],[Date]],"mmm")</f>
        <v>Aug</v>
      </c>
      <c r="F16" s="1" t="str">
        <f t="shared" si="0"/>
        <v>2022</v>
      </c>
      <c r="G16" s="1" t="str">
        <f t="shared" si="1"/>
        <v>Wed</v>
      </c>
      <c r="H16" s="7">
        <v>8379</v>
      </c>
      <c r="I16" s="6">
        <v>173</v>
      </c>
    </row>
    <row r="17" spans="1:9" x14ac:dyDescent="0.25">
      <c r="A17" t="s">
        <v>34</v>
      </c>
      <c r="B17" t="s">
        <v>15</v>
      </c>
      <c r="C17" t="s">
        <v>35</v>
      </c>
      <c r="D17" s="1">
        <v>44587</v>
      </c>
      <c r="E17" s="1" t="str">
        <f>TEXT(Sales[[#This Row],[Date]],"mmm")</f>
        <v>Jan</v>
      </c>
      <c r="F17" s="1" t="str">
        <f t="shared" si="0"/>
        <v>2022</v>
      </c>
      <c r="G17" s="1" t="str">
        <f t="shared" si="1"/>
        <v>Wed</v>
      </c>
      <c r="H17" s="7">
        <v>6790</v>
      </c>
      <c r="I17" s="6">
        <v>356</v>
      </c>
    </row>
    <row r="18" spans="1:9" x14ac:dyDescent="0.25">
      <c r="A18" t="s">
        <v>9</v>
      </c>
      <c r="B18" t="s">
        <v>29</v>
      </c>
      <c r="C18" t="s">
        <v>35</v>
      </c>
      <c r="D18" s="1">
        <v>44606</v>
      </c>
      <c r="E18" s="1" t="str">
        <f>TEXT(Sales[[#This Row],[Date]],"mmm")</f>
        <v>Feb</v>
      </c>
      <c r="F18" s="1" t="str">
        <f t="shared" si="0"/>
        <v>2022</v>
      </c>
      <c r="G18" s="1" t="str">
        <f t="shared" si="1"/>
        <v>Mon</v>
      </c>
      <c r="H18" s="7">
        <v>4067</v>
      </c>
      <c r="I18" s="6">
        <v>42</v>
      </c>
    </row>
    <row r="19" spans="1:9" x14ac:dyDescent="0.25">
      <c r="A19" t="s">
        <v>36</v>
      </c>
      <c r="B19" t="s">
        <v>26</v>
      </c>
      <c r="C19" t="s">
        <v>16</v>
      </c>
      <c r="D19" s="1">
        <v>44656</v>
      </c>
      <c r="E19" s="1" t="str">
        <f>TEXT(Sales[[#This Row],[Date]],"mmm")</f>
        <v>Apr</v>
      </c>
      <c r="F19" s="1" t="str">
        <f t="shared" si="0"/>
        <v>2022</v>
      </c>
      <c r="G19" s="1" t="str">
        <f t="shared" si="1"/>
        <v>Tue</v>
      </c>
      <c r="H19" s="7">
        <v>3017</v>
      </c>
      <c r="I19" s="6">
        <v>140</v>
      </c>
    </row>
    <row r="20" spans="1:9" x14ac:dyDescent="0.25">
      <c r="A20" t="s">
        <v>34</v>
      </c>
      <c r="B20" t="s">
        <v>29</v>
      </c>
      <c r="C20" t="s">
        <v>37</v>
      </c>
      <c r="D20" s="1">
        <v>44608</v>
      </c>
      <c r="E20" s="1" t="str">
        <f>TEXT(Sales[[#This Row],[Date]],"mmm")</f>
        <v>Feb</v>
      </c>
      <c r="F20" s="1" t="str">
        <f t="shared" si="0"/>
        <v>2022</v>
      </c>
      <c r="G20" s="1" t="str">
        <f t="shared" si="1"/>
        <v>Wed</v>
      </c>
      <c r="H20" s="7">
        <v>8799</v>
      </c>
      <c r="I20" s="6">
        <v>250</v>
      </c>
    </row>
    <row r="21" spans="1:9" x14ac:dyDescent="0.25">
      <c r="A21" t="s">
        <v>38</v>
      </c>
      <c r="B21" t="s">
        <v>7</v>
      </c>
      <c r="C21" t="s">
        <v>11</v>
      </c>
      <c r="D21" s="1">
        <v>44720</v>
      </c>
      <c r="E21" s="1" t="str">
        <f>TEXT(Sales[[#This Row],[Date]],"mmm")</f>
        <v>Jun</v>
      </c>
      <c r="F21" s="1" t="str">
        <f t="shared" si="0"/>
        <v>2022</v>
      </c>
      <c r="G21" s="1" t="str">
        <f t="shared" si="1"/>
        <v>Wed</v>
      </c>
      <c r="H21" s="7">
        <v>1085</v>
      </c>
      <c r="I21" s="6">
        <v>172</v>
      </c>
    </row>
    <row r="22" spans="1:9" x14ac:dyDescent="0.25">
      <c r="A22" t="s">
        <v>23</v>
      </c>
      <c r="B22" t="s">
        <v>15</v>
      </c>
      <c r="C22" t="s">
        <v>30</v>
      </c>
      <c r="D22" s="1">
        <v>44739</v>
      </c>
      <c r="E22" s="1" t="str">
        <f>TEXT(Sales[[#This Row],[Date]],"mmm")</f>
        <v>Jun</v>
      </c>
      <c r="F22" s="1" t="str">
        <f t="shared" si="0"/>
        <v>2022</v>
      </c>
      <c r="G22" s="1" t="str">
        <f t="shared" si="1"/>
        <v>Mon</v>
      </c>
      <c r="H22" s="7">
        <v>6888</v>
      </c>
      <c r="I22" s="6">
        <v>88</v>
      </c>
    </row>
    <row r="23" spans="1:9" x14ac:dyDescent="0.25">
      <c r="A23" t="s">
        <v>19</v>
      </c>
      <c r="B23" t="s">
        <v>26</v>
      </c>
      <c r="C23" t="s">
        <v>39</v>
      </c>
      <c r="D23" s="1">
        <v>44609</v>
      </c>
      <c r="E23" s="1" t="str">
        <f>TEXT(Sales[[#This Row],[Date]],"mmm")</f>
        <v>Feb</v>
      </c>
      <c r="F23" s="1" t="str">
        <f t="shared" si="0"/>
        <v>2022</v>
      </c>
      <c r="G23" s="1" t="str">
        <f t="shared" si="1"/>
        <v>Thu</v>
      </c>
      <c r="H23" s="7">
        <v>1267</v>
      </c>
      <c r="I23" s="6">
        <v>157</v>
      </c>
    </row>
    <row r="24" spans="1:9" x14ac:dyDescent="0.25">
      <c r="A24" t="s">
        <v>33</v>
      </c>
      <c r="B24" t="s">
        <v>26</v>
      </c>
      <c r="C24" t="s">
        <v>20</v>
      </c>
      <c r="D24" s="1">
        <v>44711</v>
      </c>
      <c r="E24" s="1" t="str">
        <f>TEXT(Sales[[#This Row],[Date]],"mmm")</f>
        <v>May</v>
      </c>
      <c r="F24" s="1" t="str">
        <f t="shared" si="0"/>
        <v>2022</v>
      </c>
      <c r="G24" s="1" t="str">
        <f t="shared" si="1"/>
        <v>Mon</v>
      </c>
      <c r="H24" s="7">
        <v>4753</v>
      </c>
      <c r="I24" s="6">
        <v>163</v>
      </c>
    </row>
    <row r="25" spans="1:9" x14ac:dyDescent="0.25">
      <c r="A25" t="s">
        <v>40</v>
      </c>
      <c r="B25" t="s">
        <v>7</v>
      </c>
      <c r="C25" t="s">
        <v>32</v>
      </c>
      <c r="D25" s="1">
        <v>44634</v>
      </c>
      <c r="E25" s="1" t="str">
        <f>TEXT(Sales[[#This Row],[Date]],"mmm")</f>
        <v>Mar</v>
      </c>
      <c r="F25" s="1" t="str">
        <f t="shared" si="0"/>
        <v>2022</v>
      </c>
      <c r="G25" s="1" t="str">
        <f t="shared" si="1"/>
        <v>Mon</v>
      </c>
      <c r="H25" s="7">
        <v>3003</v>
      </c>
      <c r="I25" s="6">
        <v>113</v>
      </c>
    </row>
    <row r="26" spans="1:9" x14ac:dyDescent="0.25">
      <c r="A26" t="s">
        <v>41</v>
      </c>
      <c r="B26" t="s">
        <v>15</v>
      </c>
      <c r="C26" t="s">
        <v>30</v>
      </c>
      <c r="D26" s="1">
        <v>44620</v>
      </c>
      <c r="E26" s="1" t="str">
        <f>TEXT(Sales[[#This Row],[Date]],"mmm")</f>
        <v>Feb</v>
      </c>
      <c r="F26" s="1" t="str">
        <f t="shared" si="0"/>
        <v>2022</v>
      </c>
      <c r="G26" s="1" t="str">
        <f t="shared" si="1"/>
        <v>Mon</v>
      </c>
      <c r="H26" s="7">
        <v>7672</v>
      </c>
      <c r="I26" s="6">
        <v>115</v>
      </c>
    </row>
    <row r="27" spans="1:9" x14ac:dyDescent="0.25">
      <c r="A27" t="s">
        <v>31</v>
      </c>
      <c r="B27" t="s">
        <v>10</v>
      </c>
      <c r="C27" t="s">
        <v>42</v>
      </c>
      <c r="D27" s="1">
        <v>44587</v>
      </c>
      <c r="E27" s="1" t="str">
        <f>TEXT(Sales[[#This Row],[Date]],"mmm")</f>
        <v>Jan</v>
      </c>
      <c r="F27" s="1" t="str">
        <f t="shared" si="0"/>
        <v>2022</v>
      </c>
      <c r="G27" s="1" t="str">
        <f t="shared" si="1"/>
        <v>Wed</v>
      </c>
      <c r="H27" s="7">
        <v>168</v>
      </c>
      <c r="I27" s="6">
        <v>321</v>
      </c>
    </row>
    <row r="28" spans="1:9" x14ac:dyDescent="0.25">
      <c r="A28" t="s">
        <v>36</v>
      </c>
      <c r="B28" t="s">
        <v>29</v>
      </c>
      <c r="C28" t="s">
        <v>39</v>
      </c>
      <c r="D28" s="1">
        <v>44601</v>
      </c>
      <c r="E28" s="1" t="str">
        <f>TEXT(Sales[[#This Row],[Date]],"mmm")</f>
        <v>Feb</v>
      </c>
      <c r="F28" s="1" t="str">
        <f t="shared" si="0"/>
        <v>2022</v>
      </c>
      <c r="G28" s="1" t="str">
        <f t="shared" si="1"/>
        <v>Wed</v>
      </c>
      <c r="H28" s="7">
        <v>1652</v>
      </c>
      <c r="I28" s="6">
        <v>186</v>
      </c>
    </row>
    <row r="29" spans="1:9" x14ac:dyDescent="0.25">
      <c r="A29" t="s">
        <v>40</v>
      </c>
      <c r="B29" t="s">
        <v>26</v>
      </c>
      <c r="C29" t="s">
        <v>30</v>
      </c>
      <c r="D29" s="1">
        <v>44749</v>
      </c>
      <c r="E29" s="1" t="str">
        <f>TEXT(Sales[[#This Row],[Date]],"mmm")</f>
        <v>Jul</v>
      </c>
      <c r="F29" s="1" t="str">
        <f t="shared" si="0"/>
        <v>2022</v>
      </c>
      <c r="G29" s="1" t="str">
        <f t="shared" si="1"/>
        <v>Thu</v>
      </c>
      <c r="H29" s="7">
        <v>4025</v>
      </c>
      <c r="I29" s="6">
        <v>112</v>
      </c>
    </row>
    <row r="30" spans="1:9" x14ac:dyDescent="0.25">
      <c r="A30" t="s">
        <v>43</v>
      </c>
      <c r="B30" t="s">
        <v>21</v>
      </c>
      <c r="C30" t="s">
        <v>44</v>
      </c>
      <c r="D30" s="1">
        <v>44747</v>
      </c>
      <c r="E30" s="1" t="str">
        <f>TEXT(Sales[[#This Row],[Date]],"mmm")</f>
        <v>Jul</v>
      </c>
      <c r="F30" s="1" t="str">
        <f t="shared" si="0"/>
        <v>2022</v>
      </c>
      <c r="G30" s="1" t="str">
        <f t="shared" si="1"/>
        <v>Tue</v>
      </c>
      <c r="H30" s="7">
        <v>9492</v>
      </c>
      <c r="I30" s="6">
        <v>151</v>
      </c>
    </row>
    <row r="31" spans="1:9" x14ac:dyDescent="0.25">
      <c r="A31" t="s">
        <v>43</v>
      </c>
      <c r="B31" t="s">
        <v>21</v>
      </c>
      <c r="C31" t="s">
        <v>45</v>
      </c>
      <c r="D31" s="1">
        <v>44727</v>
      </c>
      <c r="E31" s="1" t="str">
        <f>TEXT(Sales[[#This Row],[Date]],"mmm")</f>
        <v>Jun</v>
      </c>
      <c r="F31" s="1" t="str">
        <f t="shared" si="0"/>
        <v>2022</v>
      </c>
      <c r="G31" s="1" t="str">
        <f t="shared" si="1"/>
        <v>Wed</v>
      </c>
      <c r="H31" s="7">
        <v>5061</v>
      </c>
      <c r="I31" s="6">
        <v>301</v>
      </c>
    </row>
    <row r="32" spans="1:9" x14ac:dyDescent="0.25">
      <c r="A32" t="s">
        <v>9</v>
      </c>
      <c r="B32" t="s">
        <v>21</v>
      </c>
      <c r="C32" t="s">
        <v>11</v>
      </c>
      <c r="D32" s="1">
        <v>44705</v>
      </c>
      <c r="E32" s="1" t="str">
        <f>TEXT(Sales[[#This Row],[Date]],"mmm")</f>
        <v>May</v>
      </c>
      <c r="F32" s="1" t="str">
        <f t="shared" si="0"/>
        <v>2022</v>
      </c>
      <c r="G32" s="1" t="str">
        <f t="shared" si="1"/>
        <v>Tue</v>
      </c>
      <c r="H32" s="7">
        <v>1722</v>
      </c>
      <c r="I32" s="6">
        <v>121</v>
      </c>
    </row>
    <row r="33" spans="1:9" x14ac:dyDescent="0.25">
      <c r="A33" t="s">
        <v>24</v>
      </c>
      <c r="B33" t="s">
        <v>7</v>
      </c>
      <c r="C33" t="s">
        <v>18</v>
      </c>
      <c r="D33" s="1">
        <v>44741</v>
      </c>
      <c r="E33" s="1" t="str">
        <f>TEXT(Sales[[#This Row],[Date]],"mmm")</f>
        <v>Jun</v>
      </c>
      <c r="F33" s="1" t="str">
        <f t="shared" si="0"/>
        <v>2022</v>
      </c>
      <c r="G33" s="1" t="str">
        <f t="shared" si="1"/>
        <v>Wed</v>
      </c>
      <c r="H33" s="7">
        <v>12446</v>
      </c>
      <c r="I33" s="6">
        <v>150</v>
      </c>
    </row>
    <row r="34" spans="1:9" x14ac:dyDescent="0.25">
      <c r="A34" t="s">
        <v>46</v>
      </c>
      <c r="B34" t="s">
        <v>15</v>
      </c>
      <c r="C34" t="s">
        <v>45</v>
      </c>
      <c r="D34" s="1">
        <v>44692</v>
      </c>
      <c r="E34" s="1" t="str">
        <f>TEXT(Sales[[#This Row],[Date]],"mmm")</f>
        <v>May</v>
      </c>
      <c r="F34" s="1" t="str">
        <f t="shared" si="0"/>
        <v>2022</v>
      </c>
      <c r="G34" s="1" t="str">
        <f t="shared" si="1"/>
        <v>Wed</v>
      </c>
      <c r="H34" s="7">
        <v>4284</v>
      </c>
      <c r="I34" s="6">
        <v>94</v>
      </c>
    </row>
    <row r="35" spans="1:9" x14ac:dyDescent="0.25">
      <c r="A35" t="s">
        <v>31</v>
      </c>
      <c r="B35" t="s">
        <v>7</v>
      </c>
      <c r="C35" t="s">
        <v>47</v>
      </c>
      <c r="D35" s="1">
        <v>44742</v>
      </c>
      <c r="E35" s="1" t="str">
        <f>TEXT(Sales[[#This Row],[Date]],"mmm")</f>
        <v>Jun</v>
      </c>
      <c r="F35" s="1" t="str">
        <f t="shared" si="0"/>
        <v>2022</v>
      </c>
      <c r="G35" s="1" t="str">
        <f t="shared" si="1"/>
        <v>Thu</v>
      </c>
      <c r="H35" s="7">
        <v>6839</v>
      </c>
      <c r="I35" s="6">
        <v>133</v>
      </c>
    </row>
    <row r="36" spans="1:9" x14ac:dyDescent="0.25">
      <c r="A36" t="s">
        <v>48</v>
      </c>
      <c r="B36" t="s">
        <v>29</v>
      </c>
      <c r="C36" t="s">
        <v>20</v>
      </c>
      <c r="D36" s="1">
        <v>44692</v>
      </c>
      <c r="E36" s="1" t="str">
        <f>TEXT(Sales[[#This Row],[Date]],"mmm")</f>
        <v>May</v>
      </c>
      <c r="F36" s="1" t="str">
        <f t="shared" si="0"/>
        <v>2022</v>
      </c>
      <c r="G36" s="1" t="str">
        <f t="shared" si="1"/>
        <v>Wed</v>
      </c>
      <c r="H36" s="7">
        <v>2163</v>
      </c>
      <c r="I36" s="6">
        <v>70</v>
      </c>
    </row>
    <row r="37" spans="1:9" x14ac:dyDescent="0.25">
      <c r="A37" t="s">
        <v>36</v>
      </c>
      <c r="B37" t="s">
        <v>26</v>
      </c>
      <c r="C37" t="s">
        <v>45</v>
      </c>
      <c r="D37" s="1">
        <v>44764</v>
      </c>
      <c r="E37" s="1" t="str">
        <f>TEXT(Sales[[#This Row],[Date]],"mmm")</f>
        <v>Jul</v>
      </c>
      <c r="F37" s="1" t="str">
        <f t="shared" si="0"/>
        <v>2022</v>
      </c>
      <c r="G37" s="1" t="str">
        <f t="shared" si="1"/>
        <v>Fri</v>
      </c>
      <c r="H37" s="7">
        <v>9583</v>
      </c>
      <c r="I37" s="6">
        <v>315</v>
      </c>
    </row>
    <row r="38" spans="1:9" x14ac:dyDescent="0.25">
      <c r="A38" t="s">
        <v>48</v>
      </c>
      <c r="B38" t="s">
        <v>7</v>
      </c>
      <c r="C38" t="s">
        <v>22</v>
      </c>
      <c r="D38" s="1">
        <v>44797</v>
      </c>
      <c r="E38" s="1" t="str">
        <f>TEXT(Sales[[#This Row],[Date]],"mmm")</f>
        <v>Aug</v>
      </c>
      <c r="F38" s="1" t="str">
        <f t="shared" si="0"/>
        <v>2022</v>
      </c>
      <c r="G38" s="1" t="str">
        <f t="shared" si="1"/>
        <v>Wed</v>
      </c>
      <c r="H38" s="7">
        <v>2653</v>
      </c>
      <c r="I38" s="6">
        <v>314</v>
      </c>
    </row>
    <row r="39" spans="1:9" x14ac:dyDescent="0.25">
      <c r="A39" t="s">
        <v>49</v>
      </c>
      <c r="B39" t="s">
        <v>21</v>
      </c>
      <c r="C39" t="s">
        <v>20</v>
      </c>
      <c r="D39" s="1">
        <v>44749</v>
      </c>
      <c r="E39" s="1" t="str">
        <f>TEXT(Sales[[#This Row],[Date]],"mmm")</f>
        <v>Jul</v>
      </c>
      <c r="F39" s="1" t="str">
        <f t="shared" si="0"/>
        <v>2022</v>
      </c>
      <c r="G39" s="1" t="str">
        <f t="shared" si="1"/>
        <v>Thu</v>
      </c>
      <c r="H39" s="7">
        <v>147</v>
      </c>
      <c r="I39" s="6">
        <v>72</v>
      </c>
    </row>
    <row r="40" spans="1:9" x14ac:dyDescent="0.25">
      <c r="A40" t="s">
        <v>50</v>
      </c>
      <c r="B40" t="s">
        <v>15</v>
      </c>
      <c r="C40" t="s">
        <v>11</v>
      </c>
      <c r="D40" s="1">
        <v>44700</v>
      </c>
      <c r="E40" s="1" t="str">
        <f>TEXT(Sales[[#This Row],[Date]],"mmm")</f>
        <v>May</v>
      </c>
      <c r="F40" s="1" t="str">
        <f t="shared" si="0"/>
        <v>2022</v>
      </c>
      <c r="G40" s="1" t="str">
        <f t="shared" si="1"/>
        <v>Thu</v>
      </c>
      <c r="H40" s="7">
        <v>3654</v>
      </c>
      <c r="I40" s="6">
        <v>14</v>
      </c>
    </row>
    <row r="41" spans="1:9" x14ac:dyDescent="0.25">
      <c r="A41" t="s">
        <v>31</v>
      </c>
      <c r="B41" t="s">
        <v>10</v>
      </c>
      <c r="C41" t="s">
        <v>45</v>
      </c>
      <c r="D41" s="1">
        <v>44746</v>
      </c>
      <c r="E41" s="1" t="str">
        <f>TEXT(Sales[[#This Row],[Date]],"mmm")</f>
        <v>Jul</v>
      </c>
      <c r="F41" s="1" t="str">
        <f t="shared" si="0"/>
        <v>2022</v>
      </c>
      <c r="G41" s="1" t="str">
        <f t="shared" si="1"/>
        <v>Mon</v>
      </c>
      <c r="H41" s="7">
        <v>2443</v>
      </c>
      <c r="I41" s="6">
        <v>581</v>
      </c>
    </row>
    <row r="42" spans="1:9" x14ac:dyDescent="0.25">
      <c r="A42" t="s">
        <v>49</v>
      </c>
      <c r="B42" t="s">
        <v>26</v>
      </c>
      <c r="C42" t="s">
        <v>20</v>
      </c>
      <c r="D42" s="1">
        <v>44714</v>
      </c>
      <c r="E42" s="1" t="str">
        <f>TEXT(Sales[[#This Row],[Date]],"mmm")</f>
        <v>Jun</v>
      </c>
      <c r="F42" s="1" t="str">
        <f t="shared" si="0"/>
        <v>2022</v>
      </c>
      <c r="G42" s="1" t="str">
        <f t="shared" si="1"/>
        <v>Thu</v>
      </c>
      <c r="H42" s="7">
        <v>938</v>
      </c>
      <c r="I42" s="6">
        <v>16</v>
      </c>
    </row>
    <row r="43" spans="1:9" x14ac:dyDescent="0.25">
      <c r="A43" t="s">
        <v>31</v>
      </c>
      <c r="B43" t="s">
        <v>26</v>
      </c>
      <c r="C43" t="s">
        <v>51</v>
      </c>
      <c r="D43" s="1">
        <v>44666</v>
      </c>
      <c r="E43" s="1" t="str">
        <f>TEXT(Sales[[#This Row],[Date]],"mmm")</f>
        <v>Apr</v>
      </c>
      <c r="F43" s="1" t="str">
        <f t="shared" si="0"/>
        <v>2022</v>
      </c>
      <c r="G43" s="1" t="str">
        <f t="shared" si="1"/>
        <v>Fri</v>
      </c>
      <c r="H43" s="7">
        <v>14749</v>
      </c>
      <c r="I43" s="6">
        <v>354</v>
      </c>
    </row>
    <row r="44" spans="1:9" x14ac:dyDescent="0.25">
      <c r="A44" t="s">
        <v>28</v>
      </c>
      <c r="B44" t="s">
        <v>29</v>
      </c>
      <c r="C44" t="s">
        <v>52</v>
      </c>
      <c r="D44" s="1">
        <v>44753</v>
      </c>
      <c r="E44" s="1" t="str">
        <f>TEXT(Sales[[#This Row],[Date]],"mmm")</f>
        <v>Jul</v>
      </c>
      <c r="F44" s="1" t="str">
        <f t="shared" si="0"/>
        <v>2022</v>
      </c>
      <c r="G44" s="1" t="str">
        <f t="shared" si="1"/>
        <v>Mon</v>
      </c>
      <c r="H44" s="7">
        <v>4781</v>
      </c>
      <c r="I44" s="6">
        <v>241</v>
      </c>
    </row>
    <row r="45" spans="1:9" x14ac:dyDescent="0.25">
      <c r="A45" t="s">
        <v>48</v>
      </c>
      <c r="B45" t="s">
        <v>10</v>
      </c>
      <c r="C45" t="s">
        <v>39</v>
      </c>
      <c r="D45" s="1">
        <v>44615</v>
      </c>
      <c r="E45" s="1" t="str">
        <f>TEXT(Sales[[#This Row],[Date]],"mmm")</f>
        <v>Feb</v>
      </c>
      <c r="F45" s="1" t="str">
        <f t="shared" si="0"/>
        <v>2022</v>
      </c>
      <c r="G45" s="1" t="str">
        <f t="shared" si="1"/>
        <v>Wed</v>
      </c>
      <c r="H45" s="7">
        <v>6307</v>
      </c>
      <c r="I45" s="6">
        <v>142</v>
      </c>
    </row>
    <row r="46" spans="1:9" x14ac:dyDescent="0.25">
      <c r="A46" t="s">
        <v>53</v>
      </c>
      <c r="B46" t="s">
        <v>29</v>
      </c>
      <c r="C46" t="s">
        <v>47</v>
      </c>
      <c r="D46" s="1">
        <v>44795</v>
      </c>
      <c r="E46" s="1" t="str">
        <f>TEXT(Sales[[#This Row],[Date]],"mmm")</f>
        <v>Aug</v>
      </c>
      <c r="F46" s="1" t="str">
        <f t="shared" si="0"/>
        <v>2022</v>
      </c>
      <c r="G46" s="1" t="str">
        <f t="shared" si="1"/>
        <v>Mon</v>
      </c>
      <c r="H46" s="7">
        <v>7602</v>
      </c>
      <c r="I46" s="6">
        <v>102</v>
      </c>
    </row>
    <row r="47" spans="1:9" x14ac:dyDescent="0.25">
      <c r="A47" t="s">
        <v>41</v>
      </c>
      <c r="B47" t="s">
        <v>26</v>
      </c>
      <c r="C47" t="s">
        <v>13</v>
      </c>
      <c r="D47" s="1">
        <v>44608</v>
      </c>
      <c r="E47" s="1" t="str">
        <f>TEXT(Sales[[#This Row],[Date]],"mmm")</f>
        <v>Feb</v>
      </c>
      <c r="F47" s="1" t="str">
        <f t="shared" si="0"/>
        <v>2022</v>
      </c>
      <c r="G47" s="1" t="str">
        <f t="shared" si="1"/>
        <v>Wed</v>
      </c>
      <c r="H47" s="7">
        <v>6790</v>
      </c>
      <c r="I47" s="6">
        <v>188</v>
      </c>
    </row>
    <row r="48" spans="1:9" x14ac:dyDescent="0.25">
      <c r="A48" t="s">
        <v>9</v>
      </c>
      <c r="B48" t="s">
        <v>26</v>
      </c>
      <c r="C48" t="s">
        <v>22</v>
      </c>
      <c r="D48" s="1">
        <v>44574</v>
      </c>
      <c r="E48" s="1" t="str">
        <f>TEXT(Sales[[#This Row],[Date]],"mmm")</f>
        <v>Jan</v>
      </c>
      <c r="F48" s="1" t="str">
        <f t="shared" si="0"/>
        <v>2022</v>
      </c>
      <c r="G48" s="1" t="str">
        <f t="shared" si="1"/>
        <v>Thu</v>
      </c>
      <c r="H48" s="7">
        <v>9737</v>
      </c>
      <c r="I48" s="6">
        <v>160</v>
      </c>
    </row>
    <row r="49" spans="1:9" x14ac:dyDescent="0.25">
      <c r="A49" t="s">
        <v>38</v>
      </c>
      <c r="B49" t="s">
        <v>15</v>
      </c>
      <c r="C49" t="s">
        <v>37</v>
      </c>
      <c r="D49" s="1">
        <v>44606</v>
      </c>
      <c r="E49" s="1" t="str">
        <f>TEXT(Sales[[#This Row],[Date]],"mmm")</f>
        <v>Feb</v>
      </c>
      <c r="F49" s="1" t="str">
        <f t="shared" si="0"/>
        <v>2022</v>
      </c>
      <c r="G49" s="1" t="str">
        <f t="shared" si="1"/>
        <v>Mon</v>
      </c>
      <c r="H49" s="7">
        <v>6979</v>
      </c>
      <c r="I49" s="6">
        <v>18</v>
      </c>
    </row>
    <row r="50" spans="1:9" x14ac:dyDescent="0.25">
      <c r="A50" t="s">
        <v>36</v>
      </c>
      <c r="B50" t="s">
        <v>10</v>
      </c>
      <c r="C50" t="s">
        <v>30</v>
      </c>
      <c r="D50" s="1">
        <v>44722</v>
      </c>
      <c r="E50" s="1" t="str">
        <f>TEXT(Sales[[#This Row],[Date]],"mmm")</f>
        <v>Jun</v>
      </c>
      <c r="F50" s="1" t="str">
        <f t="shared" si="0"/>
        <v>2022</v>
      </c>
      <c r="G50" s="1" t="str">
        <f t="shared" si="1"/>
        <v>Fri</v>
      </c>
      <c r="H50" s="7">
        <v>4382</v>
      </c>
      <c r="I50" s="6">
        <v>303</v>
      </c>
    </row>
    <row r="51" spans="1:9" x14ac:dyDescent="0.25">
      <c r="A51" t="s">
        <v>38</v>
      </c>
      <c r="B51" t="s">
        <v>10</v>
      </c>
      <c r="C51" t="s">
        <v>42</v>
      </c>
      <c r="D51" s="1">
        <v>44749</v>
      </c>
      <c r="E51" s="1" t="str">
        <f>TEXT(Sales[[#This Row],[Date]],"mmm")</f>
        <v>Jul</v>
      </c>
      <c r="F51" s="1" t="str">
        <f t="shared" si="0"/>
        <v>2022</v>
      </c>
      <c r="G51" s="1" t="str">
        <f t="shared" si="1"/>
        <v>Thu</v>
      </c>
      <c r="H51" s="7">
        <v>5243</v>
      </c>
      <c r="I51" s="6">
        <v>176</v>
      </c>
    </row>
    <row r="52" spans="1:9" x14ac:dyDescent="0.25">
      <c r="A52" t="s">
        <v>38</v>
      </c>
      <c r="B52" t="s">
        <v>29</v>
      </c>
      <c r="C52" t="s">
        <v>47</v>
      </c>
      <c r="D52" s="1">
        <v>44644</v>
      </c>
      <c r="E52" s="1" t="str">
        <f>TEXT(Sales[[#This Row],[Date]],"mmm")</f>
        <v>Mar</v>
      </c>
      <c r="F52" s="1" t="str">
        <f t="shared" si="0"/>
        <v>2022</v>
      </c>
      <c r="G52" s="1" t="str">
        <f t="shared" si="1"/>
        <v>Thu</v>
      </c>
      <c r="H52" s="7">
        <v>4865</v>
      </c>
      <c r="I52" s="6">
        <v>70</v>
      </c>
    </row>
    <row r="53" spans="1:9" x14ac:dyDescent="0.25">
      <c r="A53" t="s">
        <v>23</v>
      </c>
      <c r="B53" t="s">
        <v>15</v>
      </c>
      <c r="C53" t="s">
        <v>42</v>
      </c>
      <c r="D53" s="1">
        <v>44718</v>
      </c>
      <c r="E53" s="1" t="str">
        <f>TEXT(Sales[[#This Row],[Date]],"mmm")</f>
        <v>Jun</v>
      </c>
      <c r="F53" s="1" t="str">
        <f t="shared" si="0"/>
        <v>2022</v>
      </c>
      <c r="G53" s="1" t="str">
        <f t="shared" si="1"/>
        <v>Mon</v>
      </c>
      <c r="H53" s="7">
        <v>8575</v>
      </c>
      <c r="I53" s="6">
        <v>23</v>
      </c>
    </row>
    <row r="54" spans="1:9" x14ac:dyDescent="0.25">
      <c r="A54" t="s">
        <v>54</v>
      </c>
      <c r="B54" t="s">
        <v>15</v>
      </c>
      <c r="C54" t="s">
        <v>32</v>
      </c>
      <c r="D54" s="1">
        <v>44761</v>
      </c>
      <c r="E54" s="1" t="str">
        <f>TEXT(Sales[[#This Row],[Date]],"mmm")</f>
        <v>Jul</v>
      </c>
      <c r="F54" s="1" t="str">
        <f t="shared" si="0"/>
        <v>2022</v>
      </c>
      <c r="G54" s="1" t="str">
        <f t="shared" si="1"/>
        <v>Tue</v>
      </c>
      <c r="H54" s="7">
        <v>91</v>
      </c>
      <c r="I54" s="6">
        <v>135</v>
      </c>
    </row>
    <row r="55" spans="1:9" x14ac:dyDescent="0.25">
      <c r="A55" t="s">
        <v>34</v>
      </c>
      <c r="B55" t="s">
        <v>26</v>
      </c>
      <c r="C55" t="s">
        <v>51</v>
      </c>
      <c r="D55" s="1">
        <v>44670</v>
      </c>
      <c r="E55" s="1" t="str">
        <f>TEXT(Sales[[#This Row],[Date]],"mmm")</f>
        <v>Apr</v>
      </c>
      <c r="F55" s="1" t="str">
        <f t="shared" si="0"/>
        <v>2022</v>
      </c>
      <c r="G55" s="1" t="str">
        <f t="shared" si="1"/>
        <v>Tue</v>
      </c>
      <c r="H55" s="7">
        <v>14798</v>
      </c>
      <c r="I55" s="6">
        <v>83</v>
      </c>
    </row>
    <row r="56" spans="1:9" x14ac:dyDescent="0.25">
      <c r="A56" t="s">
        <v>33</v>
      </c>
      <c r="B56" t="s">
        <v>10</v>
      </c>
      <c r="C56" t="s">
        <v>11</v>
      </c>
      <c r="D56" s="1">
        <v>44761</v>
      </c>
      <c r="E56" s="1" t="str">
        <f>TEXT(Sales[[#This Row],[Date]],"mmm")</f>
        <v>Jul</v>
      </c>
      <c r="F56" s="1" t="str">
        <f t="shared" si="0"/>
        <v>2022</v>
      </c>
      <c r="G56" s="1" t="str">
        <f t="shared" si="1"/>
        <v>Tue</v>
      </c>
      <c r="H56" s="7">
        <v>2205</v>
      </c>
      <c r="I56" s="6">
        <v>179</v>
      </c>
    </row>
    <row r="57" spans="1:9" x14ac:dyDescent="0.25">
      <c r="A57" t="s">
        <v>6</v>
      </c>
      <c r="B57" t="s">
        <v>29</v>
      </c>
      <c r="C57" t="s">
        <v>32</v>
      </c>
      <c r="D57" s="1">
        <v>44757</v>
      </c>
      <c r="E57" s="1" t="str">
        <f>TEXT(Sales[[#This Row],[Date]],"mmm")</f>
        <v>Jul</v>
      </c>
      <c r="F57" s="1" t="str">
        <f t="shared" si="0"/>
        <v>2022</v>
      </c>
      <c r="G57" s="1" t="str">
        <f t="shared" si="1"/>
        <v>Fri</v>
      </c>
      <c r="H57" s="7">
        <v>441</v>
      </c>
      <c r="I57" s="6">
        <v>24</v>
      </c>
    </row>
    <row r="58" spans="1:9" x14ac:dyDescent="0.25">
      <c r="A58" t="s">
        <v>55</v>
      </c>
      <c r="B58" t="s">
        <v>21</v>
      </c>
      <c r="C58" t="s">
        <v>39</v>
      </c>
      <c r="D58" s="1">
        <v>44606</v>
      </c>
      <c r="E58" s="1" t="str">
        <f>TEXT(Sales[[#This Row],[Date]],"mmm")</f>
        <v>Feb</v>
      </c>
      <c r="F58" s="1" t="str">
        <f t="shared" si="0"/>
        <v>2022</v>
      </c>
      <c r="G58" s="1" t="str">
        <f t="shared" si="1"/>
        <v>Mon</v>
      </c>
      <c r="H58" s="7">
        <v>3556</v>
      </c>
      <c r="I58" s="6">
        <v>18</v>
      </c>
    </row>
    <row r="59" spans="1:9" x14ac:dyDescent="0.25">
      <c r="A59" t="s">
        <v>23</v>
      </c>
      <c r="B59" t="s">
        <v>29</v>
      </c>
      <c r="C59" t="s">
        <v>18</v>
      </c>
      <c r="D59" s="1">
        <v>44699</v>
      </c>
      <c r="E59" s="1" t="str">
        <f>TEXT(Sales[[#This Row],[Date]],"mmm")</f>
        <v>May</v>
      </c>
      <c r="F59" s="1" t="str">
        <f t="shared" si="0"/>
        <v>2022</v>
      </c>
      <c r="G59" s="1" t="str">
        <f t="shared" si="1"/>
        <v>Wed</v>
      </c>
      <c r="H59" s="7">
        <v>16793</v>
      </c>
      <c r="I59" s="6">
        <v>416</v>
      </c>
    </row>
    <row r="60" spans="1:9" x14ac:dyDescent="0.25">
      <c r="A60" t="s">
        <v>25</v>
      </c>
      <c r="B60" t="s">
        <v>15</v>
      </c>
      <c r="C60" t="s">
        <v>42</v>
      </c>
      <c r="D60" s="1">
        <v>44742</v>
      </c>
      <c r="E60" s="1" t="str">
        <f>TEXT(Sales[[#This Row],[Date]],"mmm")</f>
        <v>Jun</v>
      </c>
      <c r="F60" s="1" t="str">
        <f t="shared" si="0"/>
        <v>2022</v>
      </c>
      <c r="G60" s="1" t="str">
        <f t="shared" si="1"/>
        <v>Thu</v>
      </c>
      <c r="H60" s="7">
        <v>15421</v>
      </c>
      <c r="I60" s="6">
        <v>55</v>
      </c>
    </row>
    <row r="61" spans="1:9" x14ac:dyDescent="0.25">
      <c r="A61" t="s">
        <v>48</v>
      </c>
      <c r="B61" t="s">
        <v>15</v>
      </c>
      <c r="C61" t="s">
        <v>22</v>
      </c>
      <c r="D61" s="1">
        <v>44714</v>
      </c>
      <c r="E61" s="1" t="str">
        <f>TEXT(Sales[[#This Row],[Date]],"mmm")</f>
        <v>Jun</v>
      </c>
      <c r="F61" s="1" t="str">
        <f t="shared" si="0"/>
        <v>2022</v>
      </c>
      <c r="G61" s="1" t="str">
        <f t="shared" si="1"/>
        <v>Thu</v>
      </c>
      <c r="H61" s="7">
        <v>4438</v>
      </c>
      <c r="I61" s="6">
        <v>227</v>
      </c>
    </row>
    <row r="62" spans="1:9" x14ac:dyDescent="0.25">
      <c r="A62" t="s">
        <v>48</v>
      </c>
      <c r="B62" t="s">
        <v>15</v>
      </c>
      <c r="C62" t="s">
        <v>32</v>
      </c>
      <c r="D62" s="1">
        <v>44740</v>
      </c>
      <c r="E62" s="1" t="str">
        <f>TEXT(Sales[[#This Row],[Date]],"mmm")</f>
        <v>Jun</v>
      </c>
      <c r="F62" s="1" t="str">
        <f t="shared" si="0"/>
        <v>2022</v>
      </c>
      <c r="G62" s="1" t="str">
        <f t="shared" si="1"/>
        <v>Tue</v>
      </c>
      <c r="H62" s="7">
        <v>1603</v>
      </c>
      <c r="I62" s="6">
        <v>48</v>
      </c>
    </row>
    <row r="63" spans="1:9" x14ac:dyDescent="0.25">
      <c r="A63" t="s">
        <v>33</v>
      </c>
      <c r="B63" t="s">
        <v>15</v>
      </c>
      <c r="C63" t="s">
        <v>35</v>
      </c>
      <c r="D63" s="1">
        <v>44697</v>
      </c>
      <c r="E63" s="1" t="str">
        <f>TEXT(Sales[[#This Row],[Date]],"mmm")</f>
        <v>May</v>
      </c>
      <c r="F63" s="1" t="str">
        <f t="shared" si="0"/>
        <v>2022</v>
      </c>
      <c r="G63" s="1" t="str">
        <f t="shared" si="1"/>
        <v>Mon</v>
      </c>
      <c r="H63" s="7">
        <v>273</v>
      </c>
      <c r="I63" s="6">
        <v>174</v>
      </c>
    </row>
    <row r="64" spans="1:9" x14ac:dyDescent="0.25">
      <c r="A64" t="s">
        <v>49</v>
      </c>
      <c r="B64" t="s">
        <v>29</v>
      </c>
      <c r="C64" t="s">
        <v>56</v>
      </c>
      <c r="D64" s="1">
        <v>44707</v>
      </c>
      <c r="E64" s="1" t="str">
        <f>TEXT(Sales[[#This Row],[Date]],"mmm")</f>
        <v>May</v>
      </c>
      <c r="F64" s="1" t="str">
        <f t="shared" si="0"/>
        <v>2022</v>
      </c>
      <c r="G64" s="1" t="str">
        <f t="shared" si="1"/>
        <v>Thu</v>
      </c>
      <c r="H64" s="7">
        <v>3073</v>
      </c>
      <c r="I64" s="6">
        <v>302</v>
      </c>
    </row>
    <row r="65" spans="1:9" x14ac:dyDescent="0.25">
      <c r="A65" t="s">
        <v>31</v>
      </c>
      <c r="B65" t="s">
        <v>10</v>
      </c>
      <c r="C65" t="s">
        <v>47</v>
      </c>
      <c r="D65" s="1">
        <v>44748</v>
      </c>
      <c r="E65" s="1" t="str">
        <f>TEXT(Sales[[#This Row],[Date]],"mmm")</f>
        <v>Jul</v>
      </c>
      <c r="F65" s="1" t="str">
        <f t="shared" si="0"/>
        <v>2022</v>
      </c>
      <c r="G65" s="1" t="str">
        <f t="shared" si="1"/>
        <v>Wed</v>
      </c>
      <c r="H65" s="7">
        <v>6090</v>
      </c>
      <c r="I65" s="6">
        <v>149</v>
      </c>
    </row>
    <row r="66" spans="1:9" x14ac:dyDescent="0.25">
      <c r="A66" t="s">
        <v>17</v>
      </c>
      <c r="B66" t="s">
        <v>10</v>
      </c>
      <c r="C66" t="s">
        <v>18</v>
      </c>
      <c r="D66" s="1">
        <v>44708</v>
      </c>
      <c r="E66" s="1" t="str">
        <f>TEXT(Sales[[#This Row],[Date]],"mmm")</f>
        <v>May</v>
      </c>
      <c r="F66" s="1" t="str">
        <f t="shared" ref="F66:F129" si="2">TEXT(D:D,"yyyy")</f>
        <v>2022</v>
      </c>
      <c r="G66" s="1" t="str">
        <f t="shared" ref="G66:G129" si="3">TEXT(D:D,"ddd")</f>
        <v>Fri</v>
      </c>
      <c r="H66" s="7">
        <v>10255</v>
      </c>
      <c r="I66" s="6">
        <v>11</v>
      </c>
    </row>
    <row r="67" spans="1:9" x14ac:dyDescent="0.25">
      <c r="A67" t="s">
        <v>46</v>
      </c>
      <c r="B67" t="s">
        <v>15</v>
      </c>
      <c r="C67" t="s">
        <v>57</v>
      </c>
      <c r="D67" s="1">
        <v>44665</v>
      </c>
      <c r="E67" s="1" t="str">
        <f>TEXT(Sales[[#This Row],[Date]],"mmm")</f>
        <v>Apr</v>
      </c>
      <c r="F67" s="1" t="str">
        <f t="shared" si="2"/>
        <v>2022</v>
      </c>
      <c r="G67" s="1" t="str">
        <f t="shared" si="3"/>
        <v>Thu</v>
      </c>
      <c r="H67" s="7">
        <v>2030</v>
      </c>
      <c r="I67" s="6">
        <v>11</v>
      </c>
    </row>
    <row r="68" spans="1:9" x14ac:dyDescent="0.25">
      <c r="A68" t="s">
        <v>9</v>
      </c>
      <c r="B68" t="s">
        <v>15</v>
      </c>
      <c r="C68" t="s">
        <v>35</v>
      </c>
      <c r="D68" s="1">
        <v>44783</v>
      </c>
      <c r="E68" s="1" t="str">
        <f>TEXT(Sales[[#This Row],[Date]],"mmm")</f>
        <v>Aug</v>
      </c>
      <c r="F68" s="1" t="str">
        <f t="shared" si="2"/>
        <v>2022</v>
      </c>
      <c r="G68" s="1" t="str">
        <f t="shared" si="3"/>
        <v>Wed</v>
      </c>
      <c r="H68" s="7">
        <v>19453</v>
      </c>
      <c r="I68" s="6">
        <v>14</v>
      </c>
    </row>
    <row r="69" spans="1:9" x14ac:dyDescent="0.25">
      <c r="A69" t="s">
        <v>50</v>
      </c>
      <c r="B69" t="s">
        <v>10</v>
      </c>
      <c r="C69" t="s">
        <v>22</v>
      </c>
      <c r="D69" s="1">
        <v>44746</v>
      </c>
      <c r="E69" s="1" t="str">
        <f>TEXT(Sales[[#This Row],[Date]],"mmm")</f>
        <v>Jul</v>
      </c>
      <c r="F69" s="1" t="str">
        <f t="shared" si="2"/>
        <v>2022</v>
      </c>
      <c r="G69" s="1" t="str">
        <f t="shared" si="3"/>
        <v>Mon</v>
      </c>
      <c r="H69" s="7">
        <v>9275</v>
      </c>
      <c r="I69" s="6">
        <v>411</v>
      </c>
    </row>
    <row r="70" spans="1:9" x14ac:dyDescent="0.25">
      <c r="A70" t="s">
        <v>17</v>
      </c>
      <c r="B70" t="s">
        <v>10</v>
      </c>
      <c r="C70" t="s">
        <v>35</v>
      </c>
      <c r="D70" s="1">
        <v>44750</v>
      </c>
      <c r="E70" s="1" t="str">
        <f>TEXT(Sales[[#This Row],[Date]],"mmm")</f>
        <v>Jul</v>
      </c>
      <c r="F70" s="1" t="str">
        <f t="shared" si="2"/>
        <v>2022</v>
      </c>
      <c r="G70" s="1" t="str">
        <f t="shared" si="3"/>
        <v>Fri</v>
      </c>
      <c r="H70" s="7">
        <v>6181</v>
      </c>
      <c r="I70" s="6">
        <v>56</v>
      </c>
    </row>
    <row r="71" spans="1:9" x14ac:dyDescent="0.25">
      <c r="A71" t="s">
        <v>14</v>
      </c>
      <c r="B71" t="s">
        <v>26</v>
      </c>
      <c r="C71" t="s">
        <v>13</v>
      </c>
      <c r="D71" s="1">
        <v>44764</v>
      </c>
      <c r="E71" s="1" t="str">
        <f>TEXT(Sales[[#This Row],[Date]],"mmm")</f>
        <v>Jul</v>
      </c>
      <c r="F71" s="1" t="str">
        <f t="shared" si="2"/>
        <v>2022</v>
      </c>
      <c r="G71" s="1" t="str">
        <f t="shared" si="3"/>
        <v>Fri</v>
      </c>
      <c r="H71" s="7">
        <v>9037</v>
      </c>
      <c r="I71" s="6">
        <v>102</v>
      </c>
    </row>
    <row r="72" spans="1:9" x14ac:dyDescent="0.25">
      <c r="A72" t="s">
        <v>12</v>
      </c>
      <c r="B72" t="s">
        <v>26</v>
      </c>
      <c r="C72" t="s">
        <v>52</v>
      </c>
      <c r="D72" s="1">
        <v>44622</v>
      </c>
      <c r="E72" s="1" t="str">
        <f>TEXT(Sales[[#This Row],[Date]],"mmm")</f>
        <v>Mar</v>
      </c>
      <c r="F72" s="1" t="str">
        <f t="shared" si="2"/>
        <v>2022</v>
      </c>
      <c r="G72" s="1" t="str">
        <f t="shared" si="3"/>
        <v>Wed</v>
      </c>
      <c r="H72" s="7">
        <v>12313</v>
      </c>
      <c r="I72" s="6">
        <v>103</v>
      </c>
    </row>
    <row r="73" spans="1:9" x14ac:dyDescent="0.25">
      <c r="A73" t="s">
        <v>12</v>
      </c>
      <c r="B73" t="s">
        <v>7</v>
      </c>
      <c r="C73" t="s">
        <v>47</v>
      </c>
      <c r="D73" s="1">
        <v>44571</v>
      </c>
      <c r="E73" s="1" t="str">
        <f>TEXT(Sales[[#This Row],[Date]],"mmm")</f>
        <v>Jan</v>
      </c>
      <c r="F73" s="1" t="str">
        <f t="shared" si="2"/>
        <v>2022</v>
      </c>
      <c r="G73" s="1" t="str">
        <f t="shared" si="3"/>
        <v>Mon</v>
      </c>
      <c r="H73" s="7">
        <v>5642</v>
      </c>
      <c r="I73" s="6">
        <v>9</v>
      </c>
    </row>
    <row r="74" spans="1:9" x14ac:dyDescent="0.25">
      <c r="A74" t="s">
        <v>6</v>
      </c>
      <c r="B74" t="s">
        <v>21</v>
      </c>
      <c r="C74" t="s">
        <v>44</v>
      </c>
      <c r="D74" s="1">
        <v>44631</v>
      </c>
      <c r="E74" s="1" t="str">
        <f>TEXT(Sales[[#This Row],[Date]],"mmm")</f>
        <v>Mar</v>
      </c>
      <c r="F74" s="1" t="str">
        <f t="shared" si="2"/>
        <v>2022</v>
      </c>
      <c r="G74" s="1" t="str">
        <f t="shared" si="3"/>
        <v>Fri</v>
      </c>
      <c r="H74" s="7">
        <v>2800</v>
      </c>
      <c r="I74" s="6">
        <v>241</v>
      </c>
    </row>
    <row r="75" spans="1:9" x14ac:dyDescent="0.25">
      <c r="A75" t="s">
        <v>48</v>
      </c>
      <c r="B75" t="s">
        <v>21</v>
      </c>
      <c r="C75" t="s">
        <v>13</v>
      </c>
      <c r="D75" s="1">
        <v>44732</v>
      </c>
      <c r="E75" s="1" t="str">
        <f>TEXT(Sales[[#This Row],[Date]],"mmm")</f>
        <v>Jun</v>
      </c>
      <c r="F75" s="1" t="str">
        <f t="shared" si="2"/>
        <v>2022</v>
      </c>
      <c r="G75" s="1" t="str">
        <f t="shared" si="3"/>
        <v>Mon</v>
      </c>
      <c r="H75" s="7">
        <v>959</v>
      </c>
      <c r="I75" s="6">
        <v>265</v>
      </c>
    </row>
    <row r="76" spans="1:9" x14ac:dyDescent="0.25">
      <c r="A76" t="s">
        <v>9</v>
      </c>
      <c r="B76" t="s">
        <v>7</v>
      </c>
      <c r="C76" t="s">
        <v>35</v>
      </c>
      <c r="D76" s="1">
        <v>44799</v>
      </c>
      <c r="E76" s="1" t="str">
        <f>TEXT(Sales[[#This Row],[Date]],"mmm")</f>
        <v>Aug</v>
      </c>
      <c r="F76" s="1" t="str">
        <f t="shared" si="2"/>
        <v>2022</v>
      </c>
      <c r="G76" s="1" t="str">
        <f t="shared" si="3"/>
        <v>Fri</v>
      </c>
      <c r="H76" s="7">
        <v>2002</v>
      </c>
      <c r="I76" s="6">
        <v>214</v>
      </c>
    </row>
    <row r="77" spans="1:9" x14ac:dyDescent="0.25">
      <c r="A77" t="s">
        <v>36</v>
      </c>
      <c r="B77" t="s">
        <v>29</v>
      </c>
      <c r="C77" t="s">
        <v>37</v>
      </c>
      <c r="D77" s="1">
        <v>44755</v>
      </c>
      <c r="E77" s="1" t="str">
        <f>TEXT(Sales[[#This Row],[Date]],"mmm")</f>
        <v>Jul</v>
      </c>
      <c r="F77" s="1" t="str">
        <f t="shared" si="2"/>
        <v>2022</v>
      </c>
      <c r="G77" s="1" t="str">
        <f t="shared" si="3"/>
        <v>Wed</v>
      </c>
      <c r="H77" s="7">
        <v>609</v>
      </c>
      <c r="I77" s="6">
        <v>32</v>
      </c>
    </row>
    <row r="78" spans="1:9" x14ac:dyDescent="0.25">
      <c r="A78" t="s">
        <v>50</v>
      </c>
      <c r="B78" t="s">
        <v>26</v>
      </c>
      <c r="C78" t="s">
        <v>39</v>
      </c>
      <c r="D78" s="1">
        <v>44603</v>
      </c>
      <c r="E78" s="1" t="str">
        <f>TEXT(Sales[[#This Row],[Date]],"mmm")</f>
        <v>Feb</v>
      </c>
      <c r="F78" s="1" t="str">
        <f t="shared" si="2"/>
        <v>2022</v>
      </c>
      <c r="G78" s="1" t="str">
        <f t="shared" si="3"/>
        <v>Fri</v>
      </c>
      <c r="H78" s="7">
        <v>1274</v>
      </c>
      <c r="I78" s="6">
        <v>244</v>
      </c>
    </row>
    <row r="79" spans="1:9" x14ac:dyDescent="0.25">
      <c r="A79" t="s">
        <v>33</v>
      </c>
      <c r="B79" t="s">
        <v>26</v>
      </c>
      <c r="C79" t="s">
        <v>27</v>
      </c>
      <c r="D79" s="1">
        <v>44588</v>
      </c>
      <c r="E79" s="1" t="str">
        <f>TEXT(Sales[[#This Row],[Date]],"mmm")</f>
        <v>Jan</v>
      </c>
      <c r="F79" s="1" t="str">
        <f t="shared" si="2"/>
        <v>2022</v>
      </c>
      <c r="G79" s="1" t="str">
        <f t="shared" si="3"/>
        <v>Thu</v>
      </c>
      <c r="H79" s="7">
        <v>7595</v>
      </c>
      <c r="I79" s="6">
        <v>181</v>
      </c>
    </row>
    <row r="80" spans="1:9" x14ac:dyDescent="0.25">
      <c r="A80" t="s">
        <v>9</v>
      </c>
      <c r="B80" t="s">
        <v>7</v>
      </c>
      <c r="C80" t="s">
        <v>18</v>
      </c>
      <c r="D80" s="1">
        <v>44592</v>
      </c>
      <c r="E80" s="1" t="str">
        <f>TEXT(Sales[[#This Row],[Date]],"mmm")</f>
        <v>Jan</v>
      </c>
      <c r="F80" s="1" t="str">
        <f t="shared" si="2"/>
        <v>2022</v>
      </c>
      <c r="G80" s="1" t="str">
        <f t="shared" si="3"/>
        <v>Mon</v>
      </c>
      <c r="H80" s="7">
        <v>4725</v>
      </c>
      <c r="I80" s="6">
        <v>137</v>
      </c>
    </row>
    <row r="81" spans="1:9" x14ac:dyDescent="0.25">
      <c r="A81" t="s">
        <v>50</v>
      </c>
      <c r="B81" t="s">
        <v>26</v>
      </c>
      <c r="C81" t="s">
        <v>44</v>
      </c>
      <c r="D81" s="1">
        <v>44791</v>
      </c>
      <c r="E81" s="1" t="str">
        <f>TEXT(Sales[[#This Row],[Date]],"mmm")</f>
        <v>Aug</v>
      </c>
      <c r="F81" s="1" t="str">
        <f t="shared" si="2"/>
        <v>2022</v>
      </c>
      <c r="G81" s="1" t="str">
        <f t="shared" si="3"/>
        <v>Thu</v>
      </c>
      <c r="H81" s="7">
        <v>9681</v>
      </c>
      <c r="I81" s="6">
        <v>24</v>
      </c>
    </row>
    <row r="82" spans="1:9" x14ac:dyDescent="0.25">
      <c r="A82" t="s">
        <v>48</v>
      </c>
      <c r="B82" t="s">
        <v>26</v>
      </c>
      <c r="C82" t="s">
        <v>51</v>
      </c>
      <c r="D82" s="1">
        <v>44742</v>
      </c>
      <c r="E82" s="1" t="str">
        <f>TEXT(Sales[[#This Row],[Date]],"mmm")</f>
        <v>Jun</v>
      </c>
      <c r="F82" s="1" t="str">
        <f t="shared" si="2"/>
        <v>2022</v>
      </c>
      <c r="G82" s="1" t="str">
        <f t="shared" si="3"/>
        <v>Thu</v>
      </c>
      <c r="H82" s="7">
        <v>14504</v>
      </c>
      <c r="I82" s="6">
        <v>21</v>
      </c>
    </row>
    <row r="83" spans="1:9" x14ac:dyDescent="0.25">
      <c r="A83" t="s">
        <v>54</v>
      </c>
      <c r="B83" t="s">
        <v>15</v>
      </c>
      <c r="C83" t="s">
        <v>42</v>
      </c>
      <c r="D83" s="1">
        <v>44796</v>
      </c>
      <c r="E83" s="1" t="str">
        <f>TEXT(Sales[[#This Row],[Date]],"mmm")</f>
        <v>Aug</v>
      </c>
      <c r="F83" s="1" t="str">
        <f t="shared" si="2"/>
        <v>2022</v>
      </c>
      <c r="G83" s="1" t="str">
        <f t="shared" si="3"/>
        <v>Tue</v>
      </c>
      <c r="H83" s="7">
        <v>280</v>
      </c>
      <c r="I83" s="6">
        <v>311</v>
      </c>
    </row>
    <row r="84" spans="1:9" x14ac:dyDescent="0.25">
      <c r="A84" t="s">
        <v>23</v>
      </c>
      <c r="B84" t="s">
        <v>21</v>
      </c>
      <c r="C84" t="s">
        <v>8</v>
      </c>
      <c r="D84" s="1">
        <v>44774</v>
      </c>
      <c r="E84" s="1" t="str">
        <f>TEXT(Sales[[#This Row],[Date]],"mmm")</f>
        <v>Aug</v>
      </c>
      <c r="F84" s="1" t="str">
        <f t="shared" si="2"/>
        <v>2022</v>
      </c>
      <c r="G84" s="1" t="str">
        <f t="shared" si="3"/>
        <v>Mon</v>
      </c>
      <c r="H84" s="7">
        <v>63</v>
      </c>
      <c r="I84" s="6">
        <v>181</v>
      </c>
    </row>
    <row r="85" spans="1:9" x14ac:dyDescent="0.25">
      <c r="A85" t="s">
        <v>36</v>
      </c>
      <c r="B85" t="s">
        <v>21</v>
      </c>
      <c r="C85" t="s">
        <v>20</v>
      </c>
      <c r="D85" s="1">
        <v>44706</v>
      </c>
      <c r="E85" s="1" t="str">
        <f>TEXT(Sales[[#This Row],[Date]],"mmm")</f>
        <v>May</v>
      </c>
      <c r="F85" s="1" t="str">
        <f t="shared" si="2"/>
        <v>2022</v>
      </c>
      <c r="G85" s="1" t="str">
        <f t="shared" si="3"/>
        <v>Wed</v>
      </c>
      <c r="H85" s="7">
        <v>8001</v>
      </c>
      <c r="I85" s="6">
        <v>10</v>
      </c>
    </row>
    <row r="86" spans="1:9" x14ac:dyDescent="0.25">
      <c r="A86" t="s">
        <v>36</v>
      </c>
      <c r="B86" t="s">
        <v>29</v>
      </c>
      <c r="C86" t="s">
        <v>35</v>
      </c>
      <c r="D86" s="1">
        <v>44571</v>
      </c>
      <c r="E86" s="1" t="str">
        <f>TEXT(Sales[[#This Row],[Date]],"mmm")</f>
        <v>Jan</v>
      </c>
      <c r="F86" s="1" t="str">
        <f t="shared" si="2"/>
        <v>2022</v>
      </c>
      <c r="G86" s="1" t="str">
        <f t="shared" si="3"/>
        <v>Mon</v>
      </c>
      <c r="H86" s="7">
        <v>4032</v>
      </c>
      <c r="I86" s="6">
        <v>82</v>
      </c>
    </row>
    <row r="87" spans="1:9" x14ac:dyDescent="0.25">
      <c r="A87" t="s">
        <v>43</v>
      </c>
      <c r="B87" t="s">
        <v>15</v>
      </c>
      <c r="C87" t="s">
        <v>58</v>
      </c>
      <c r="D87" s="1">
        <v>44599</v>
      </c>
      <c r="E87" s="1" t="str">
        <f>TEXT(Sales[[#This Row],[Date]],"mmm")</f>
        <v>Feb</v>
      </c>
      <c r="F87" s="1" t="str">
        <f t="shared" si="2"/>
        <v>2022</v>
      </c>
      <c r="G87" s="1" t="str">
        <f t="shared" si="3"/>
        <v>Mon</v>
      </c>
      <c r="H87" s="7">
        <v>5859</v>
      </c>
      <c r="I87" s="6">
        <v>108</v>
      </c>
    </row>
    <row r="88" spans="1:9" x14ac:dyDescent="0.25">
      <c r="A88" t="s">
        <v>31</v>
      </c>
      <c r="B88" t="s">
        <v>26</v>
      </c>
      <c r="C88" t="s">
        <v>27</v>
      </c>
      <c r="D88" s="1">
        <v>44693</v>
      </c>
      <c r="E88" s="1" t="str">
        <f>TEXT(Sales[[#This Row],[Date]],"mmm")</f>
        <v>May</v>
      </c>
      <c r="F88" s="1" t="str">
        <f t="shared" si="2"/>
        <v>2022</v>
      </c>
      <c r="G88" s="1" t="str">
        <f t="shared" si="3"/>
        <v>Thu</v>
      </c>
      <c r="H88" s="7">
        <v>11095</v>
      </c>
      <c r="I88" s="6">
        <v>401</v>
      </c>
    </row>
    <row r="89" spans="1:9" x14ac:dyDescent="0.25">
      <c r="A89" t="s">
        <v>53</v>
      </c>
      <c r="B89" t="s">
        <v>15</v>
      </c>
      <c r="C89" t="s">
        <v>39</v>
      </c>
      <c r="D89" s="1">
        <v>44627</v>
      </c>
      <c r="E89" s="1" t="str">
        <f>TEXT(Sales[[#This Row],[Date]],"mmm")</f>
        <v>Mar</v>
      </c>
      <c r="F89" s="1" t="str">
        <f t="shared" si="2"/>
        <v>2022</v>
      </c>
      <c r="G89" s="1" t="str">
        <f t="shared" si="3"/>
        <v>Mon</v>
      </c>
      <c r="H89" s="7">
        <v>7182</v>
      </c>
      <c r="I89" s="6">
        <v>408</v>
      </c>
    </row>
    <row r="90" spans="1:9" x14ac:dyDescent="0.25">
      <c r="A90" t="s">
        <v>43</v>
      </c>
      <c r="B90" t="s">
        <v>15</v>
      </c>
      <c r="C90" t="s">
        <v>11</v>
      </c>
      <c r="D90" s="1">
        <v>44656</v>
      </c>
      <c r="E90" s="1" t="str">
        <f>TEXT(Sales[[#This Row],[Date]],"mmm")</f>
        <v>Apr</v>
      </c>
      <c r="F90" s="1" t="str">
        <f t="shared" si="2"/>
        <v>2022</v>
      </c>
      <c r="G90" s="1" t="str">
        <f t="shared" si="3"/>
        <v>Tue</v>
      </c>
      <c r="H90" s="7">
        <v>6881</v>
      </c>
      <c r="I90" s="6">
        <v>420</v>
      </c>
    </row>
    <row r="91" spans="1:9" x14ac:dyDescent="0.25">
      <c r="A91" t="s">
        <v>48</v>
      </c>
      <c r="B91" t="s">
        <v>29</v>
      </c>
      <c r="C91" t="s">
        <v>57</v>
      </c>
      <c r="D91" s="1">
        <v>44564</v>
      </c>
      <c r="E91" s="1" t="str">
        <f>TEXT(Sales[[#This Row],[Date]],"mmm")</f>
        <v>Jan</v>
      </c>
      <c r="F91" s="1" t="str">
        <f t="shared" si="2"/>
        <v>2022</v>
      </c>
      <c r="G91" s="1" t="str">
        <f t="shared" si="3"/>
        <v>Mon</v>
      </c>
      <c r="H91" s="7">
        <v>7154</v>
      </c>
      <c r="I91" s="6">
        <v>348</v>
      </c>
    </row>
    <row r="92" spans="1:9" x14ac:dyDescent="0.25">
      <c r="A92" t="s">
        <v>43</v>
      </c>
      <c r="B92" t="s">
        <v>7</v>
      </c>
      <c r="C92" t="s">
        <v>30</v>
      </c>
      <c r="D92" s="1">
        <v>44644</v>
      </c>
      <c r="E92" s="1" t="str">
        <f>TEXT(Sales[[#This Row],[Date]],"mmm")</f>
        <v>Mar</v>
      </c>
      <c r="F92" s="1" t="str">
        <f t="shared" si="2"/>
        <v>2022</v>
      </c>
      <c r="G92" s="1" t="str">
        <f t="shared" si="3"/>
        <v>Thu</v>
      </c>
      <c r="H92" s="7">
        <v>6188</v>
      </c>
      <c r="I92" s="6">
        <v>270</v>
      </c>
    </row>
    <row r="93" spans="1:9" x14ac:dyDescent="0.25">
      <c r="A93" t="s">
        <v>53</v>
      </c>
      <c r="B93" t="s">
        <v>10</v>
      </c>
      <c r="C93" t="s">
        <v>51</v>
      </c>
      <c r="D93" s="1">
        <v>44749</v>
      </c>
      <c r="E93" s="1" t="str">
        <f>TEXT(Sales[[#This Row],[Date]],"mmm")</f>
        <v>Jul</v>
      </c>
      <c r="F93" s="1" t="str">
        <f t="shared" si="2"/>
        <v>2022</v>
      </c>
      <c r="G93" s="1" t="str">
        <f t="shared" si="3"/>
        <v>Thu</v>
      </c>
      <c r="H93" s="7">
        <v>4221</v>
      </c>
      <c r="I93" s="6">
        <v>9</v>
      </c>
    </row>
    <row r="94" spans="1:9" x14ac:dyDescent="0.25">
      <c r="A94" t="s">
        <v>9</v>
      </c>
      <c r="B94" t="s">
        <v>26</v>
      </c>
      <c r="C94" t="s">
        <v>20</v>
      </c>
      <c r="D94" s="1">
        <v>44768</v>
      </c>
      <c r="E94" s="1" t="str">
        <f>TEXT(Sales[[#This Row],[Date]],"mmm")</f>
        <v>Jul</v>
      </c>
      <c r="F94" s="1" t="str">
        <f t="shared" si="2"/>
        <v>2022</v>
      </c>
      <c r="G94" s="1" t="str">
        <f t="shared" si="3"/>
        <v>Tue</v>
      </c>
      <c r="H94" s="7">
        <v>630</v>
      </c>
      <c r="I94" s="6">
        <v>264</v>
      </c>
    </row>
    <row r="95" spans="1:9" x14ac:dyDescent="0.25">
      <c r="A95" t="s">
        <v>46</v>
      </c>
      <c r="B95" t="s">
        <v>15</v>
      </c>
      <c r="C95" t="s">
        <v>35</v>
      </c>
      <c r="D95" s="1">
        <v>44749</v>
      </c>
      <c r="E95" s="1" t="str">
        <f>TEXT(Sales[[#This Row],[Date]],"mmm")</f>
        <v>Jul</v>
      </c>
      <c r="F95" s="1" t="str">
        <f t="shared" si="2"/>
        <v>2022</v>
      </c>
      <c r="G95" s="1" t="str">
        <f t="shared" si="3"/>
        <v>Thu</v>
      </c>
      <c r="H95" s="7">
        <v>1743</v>
      </c>
      <c r="I95" s="6">
        <v>111</v>
      </c>
    </row>
    <row r="96" spans="1:9" x14ac:dyDescent="0.25">
      <c r="A96" t="s">
        <v>31</v>
      </c>
      <c r="B96" t="s">
        <v>29</v>
      </c>
      <c r="C96" t="s">
        <v>22</v>
      </c>
      <c r="D96" s="1">
        <v>44757</v>
      </c>
      <c r="E96" s="1" t="str">
        <f>TEXT(Sales[[#This Row],[Date]],"mmm")</f>
        <v>Jul</v>
      </c>
      <c r="F96" s="1" t="str">
        <f t="shared" si="2"/>
        <v>2022</v>
      </c>
      <c r="G96" s="1" t="str">
        <f t="shared" si="3"/>
        <v>Fri</v>
      </c>
      <c r="H96" s="7">
        <v>2919</v>
      </c>
      <c r="I96" s="6">
        <v>65</v>
      </c>
    </row>
    <row r="97" spans="1:9" x14ac:dyDescent="0.25">
      <c r="A97" t="s">
        <v>36</v>
      </c>
      <c r="B97" t="s">
        <v>21</v>
      </c>
      <c r="C97" t="s">
        <v>27</v>
      </c>
      <c r="D97" s="1">
        <v>44652</v>
      </c>
      <c r="E97" s="1" t="str">
        <f>TEXT(Sales[[#This Row],[Date]],"mmm")</f>
        <v>Apr</v>
      </c>
      <c r="F97" s="1" t="str">
        <f t="shared" si="2"/>
        <v>2022</v>
      </c>
      <c r="G97" s="1" t="str">
        <f t="shared" si="3"/>
        <v>Fri</v>
      </c>
      <c r="H97" s="7">
        <v>49</v>
      </c>
      <c r="I97" s="6">
        <v>97</v>
      </c>
    </row>
    <row r="98" spans="1:9" x14ac:dyDescent="0.25">
      <c r="A98" t="s">
        <v>34</v>
      </c>
      <c r="B98" t="s">
        <v>15</v>
      </c>
      <c r="C98" t="s">
        <v>30</v>
      </c>
      <c r="D98" s="1">
        <v>44732</v>
      </c>
      <c r="E98" s="1" t="str">
        <f>TEXT(Sales[[#This Row],[Date]],"mmm")</f>
        <v>Jun</v>
      </c>
      <c r="F98" s="1" t="str">
        <f t="shared" si="2"/>
        <v>2022</v>
      </c>
      <c r="G98" s="1" t="str">
        <f t="shared" si="3"/>
        <v>Mon</v>
      </c>
      <c r="H98" s="7">
        <v>1827</v>
      </c>
      <c r="I98" s="6">
        <v>6</v>
      </c>
    </row>
    <row r="99" spans="1:9" x14ac:dyDescent="0.25">
      <c r="A99" t="s">
        <v>49</v>
      </c>
      <c r="B99" t="s">
        <v>7</v>
      </c>
      <c r="C99" t="s">
        <v>42</v>
      </c>
      <c r="D99" s="1">
        <v>44741</v>
      </c>
      <c r="E99" s="1" t="str">
        <f>TEXT(Sales[[#This Row],[Date]],"mmm")</f>
        <v>Jun</v>
      </c>
      <c r="F99" s="1" t="str">
        <f t="shared" si="2"/>
        <v>2022</v>
      </c>
      <c r="G99" s="1" t="str">
        <f t="shared" si="3"/>
        <v>Wed</v>
      </c>
      <c r="H99" s="7">
        <v>13006</v>
      </c>
      <c r="I99" s="6">
        <v>482</v>
      </c>
    </row>
    <row r="100" spans="1:9" x14ac:dyDescent="0.25">
      <c r="A100" t="s">
        <v>33</v>
      </c>
      <c r="B100" t="s">
        <v>26</v>
      </c>
      <c r="C100" t="s">
        <v>22</v>
      </c>
      <c r="D100" s="1">
        <v>44727</v>
      </c>
      <c r="E100" s="1" t="str">
        <f>TEXT(Sales[[#This Row],[Date]],"mmm")</f>
        <v>Jun</v>
      </c>
      <c r="F100" s="1" t="str">
        <f t="shared" si="2"/>
        <v>2022</v>
      </c>
      <c r="G100" s="1" t="str">
        <f t="shared" si="3"/>
        <v>Wed</v>
      </c>
      <c r="H100" s="7">
        <v>1064</v>
      </c>
      <c r="I100" s="6">
        <v>106</v>
      </c>
    </row>
    <row r="101" spans="1:9" x14ac:dyDescent="0.25">
      <c r="A101" t="s">
        <v>40</v>
      </c>
      <c r="B101" t="s">
        <v>26</v>
      </c>
      <c r="C101" t="s">
        <v>20</v>
      </c>
      <c r="D101" s="1">
        <v>44659</v>
      </c>
      <c r="E101" s="1" t="str">
        <f>TEXT(Sales[[#This Row],[Date]],"mmm")</f>
        <v>Apr</v>
      </c>
      <c r="F101" s="1" t="str">
        <f t="shared" si="2"/>
        <v>2022</v>
      </c>
      <c r="G101" s="1" t="str">
        <f t="shared" si="3"/>
        <v>Fri</v>
      </c>
      <c r="H101" s="7">
        <v>11571</v>
      </c>
      <c r="I101" s="6">
        <v>180</v>
      </c>
    </row>
    <row r="102" spans="1:9" x14ac:dyDescent="0.25">
      <c r="A102" t="s">
        <v>43</v>
      </c>
      <c r="B102" t="s">
        <v>15</v>
      </c>
      <c r="C102" t="s">
        <v>51</v>
      </c>
      <c r="D102" s="1">
        <v>44634</v>
      </c>
      <c r="E102" s="1" t="str">
        <f>TEXT(Sales[[#This Row],[Date]],"mmm")</f>
        <v>Mar</v>
      </c>
      <c r="F102" s="1" t="str">
        <f t="shared" si="2"/>
        <v>2022</v>
      </c>
      <c r="G102" s="1" t="str">
        <f t="shared" si="3"/>
        <v>Mon</v>
      </c>
      <c r="H102" s="7">
        <v>5740</v>
      </c>
      <c r="I102" s="6">
        <v>31</v>
      </c>
    </row>
    <row r="103" spans="1:9" x14ac:dyDescent="0.25">
      <c r="A103" t="s">
        <v>48</v>
      </c>
      <c r="B103" t="s">
        <v>26</v>
      </c>
      <c r="C103" t="s">
        <v>42</v>
      </c>
      <c r="D103" s="1">
        <v>44757</v>
      </c>
      <c r="E103" s="1" t="str">
        <f>TEXT(Sales[[#This Row],[Date]],"mmm")</f>
        <v>Jul</v>
      </c>
      <c r="F103" s="1" t="str">
        <f t="shared" si="2"/>
        <v>2022</v>
      </c>
      <c r="G103" s="1" t="str">
        <f t="shared" si="3"/>
        <v>Fri</v>
      </c>
      <c r="H103" s="7">
        <v>1456</v>
      </c>
      <c r="I103" s="6">
        <v>359</v>
      </c>
    </row>
    <row r="104" spans="1:9" x14ac:dyDescent="0.25">
      <c r="A104" t="s">
        <v>49</v>
      </c>
      <c r="B104" t="s">
        <v>10</v>
      </c>
      <c r="C104" t="s">
        <v>30</v>
      </c>
      <c r="D104" s="1">
        <v>44670</v>
      </c>
      <c r="E104" s="1" t="str">
        <f>TEXT(Sales[[#This Row],[Date]],"mmm")</f>
        <v>Apr</v>
      </c>
      <c r="F104" s="1" t="str">
        <f t="shared" si="2"/>
        <v>2022</v>
      </c>
      <c r="G104" s="1" t="str">
        <f t="shared" si="3"/>
        <v>Tue</v>
      </c>
      <c r="H104" s="7">
        <v>5334</v>
      </c>
      <c r="I104" s="6">
        <v>80</v>
      </c>
    </row>
    <row r="105" spans="1:9" x14ac:dyDescent="0.25">
      <c r="A105" t="s">
        <v>33</v>
      </c>
      <c r="B105" t="s">
        <v>26</v>
      </c>
      <c r="C105" t="s">
        <v>18</v>
      </c>
      <c r="D105" s="1">
        <v>44648</v>
      </c>
      <c r="E105" s="1" t="str">
        <f>TEXT(Sales[[#This Row],[Date]],"mmm")</f>
        <v>Mar</v>
      </c>
      <c r="F105" s="1" t="str">
        <f t="shared" si="2"/>
        <v>2022</v>
      </c>
      <c r="G105" s="1" t="str">
        <f t="shared" si="3"/>
        <v>Mon</v>
      </c>
      <c r="H105" s="7">
        <v>4151</v>
      </c>
      <c r="I105" s="6">
        <v>296</v>
      </c>
    </row>
    <row r="106" spans="1:9" x14ac:dyDescent="0.25">
      <c r="A106" t="s">
        <v>23</v>
      </c>
      <c r="B106" t="s">
        <v>29</v>
      </c>
      <c r="C106" t="s">
        <v>39</v>
      </c>
      <c r="D106" s="1">
        <v>44624</v>
      </c>
      <c r="E106" s="1" t="str">
        <f>TEXT(Sales[[#This Row],[Date]],"mmm")</f>
        <v>Mar</v>
      </c>
      <c r="F106" s="1" t="str">
        <f t="shared" si="2"/>
        <v>2022</v>
      </c>
      <c r="G106" s="1" t="str">
        <f t="shared" si="3"/>
        <v>Fri</v>
      </c>
      <c r="H106" s="7">
        <v>8106</v>
      </c>
      <c r="I106" s="6">
        <v>101</v>
      </c>
    </row>
    <row r="107" spans="1:9" x14ac:dyDescent="0.25">
      <c r="A107" t="s">
        <v>31</v>
      </c>
      <c r="B107" t="s">
        <v>21</v>
      </c>
      <c r="C107" t="s">
        <v>58</v>
      </c>
      <c r="D107" s="1">
        <v>44775</v>
      </c>
      <c r="E107" s="1" t="str">
        <f>TEXT(Sales[[#This Row],[Date]],"mmm")</f>
        <v>Aug</v>
      </c>
      <c r="F107" s="1" t="str">
        <f t="shared" si="2"/>
        <v>2022</v>
      </c>
      <c r="G107" s="1" t="str">
        <f t="shared" si="3"/>
        <v>Tue</v>
      </c>
      <c r="H107" s="7">
        <v>126</v>
      </c>
      <c r="I107" s="6">
        <v>40</v>
      </c>
    </row>
    <row r="108" spans="1:9" x14ac:dyDescent="0.25">
      <c r="A108" t="s">
        <v>40</v>
      </c>
      <c r="B108" t="s">
        <v>7</v>
      </c>
      <c r="C108" t="s">
        <v>39</v>
      </c>
      <c r="D108" s="1">
        <v>44798</v>
      </c>
      <c r="E108" s="1" t="str">
        <f>TEXT(Sales[[#This Row],[Date]],"mmm")</f>
        <v>Aug</v>
      </c>
      <c r="F108" s="1" t="str">
        <f t="shared" si="2"/>
        <v>2022</v>
      </c>
      <c r="G108" s="1" t="str">
        <f t="shared" si="3"/>
        <v>Thu</v>
      </c>
      <c r="H108" s="7">
        <v>4697</v>
      </c>
      <c r="I108" s="6">
        <v>42</v>
      </c>
    </row>
    <row r="109" spans="1:9" x14ac:dyDescent="0.25">
      <c r="A109" t="s">
        <v>33</v>
      </c>
      <c r="B109" t="s">
        <v>26</v>
      </c>
      <c r="C109" t="s">
        <v>47</v>
      </c>
      <c r="D109" s="1">
        <v>44617</v>
      </c>
      <c r="E109" s="1" t="str">
        <f>TEXT(Sales[[#This Row],[Date]],"mmm")</f>
        <v>Feb</v>
      </c>
      <c r="F109" s="1" t="str">
        <f t="shared" si="2"/>
        <v>2022</v>
      </c>
      <c r="G109" s="1" t="str">
        <f t="shared" si="3"/>
        <v>Fri</v>
      </c>
      <c r="H109" s="7">
        <v>7798</v>
      </c>
      <c r="I109" s="6">
        <v>167</v>
      </c>
    </row>
    <row r="110" spans="1:9" x14ac:dyDescent="0.25">
      <c r="A110" t="s">
        <v>49</v>
      </c>
      <c r="B110" t="s">
        <v>10</v>
      </c>
      <c r="C110" t="s">
        <v>27</v>
      </c>
      <c r="D110" s="1">
        <v>44719</v>
      </c>
      <c r="E110" s="1" t="str">
        <f>TEXT(Sales[[#This Row],[Date]],"mmm")</f>
        <v>Jun</v>
      </c>
      <c r="F110" s="1" t="str">
        <f t="shared" si="2"/>
        <v>2022</v>
      </c>
      <c r="G110" s="1" t="str">
        <f t="shared" si="3"/>
        <v>Tue</v>
      </c>
      <c r="H110" s="7">
        <v>9408</v>
      </c>
      <c r="I110" s="6">
        <v>138</v>
      </c>
    </row>
    <row r="111" spans="1:9" x14ac:dyDescent="0.25">
      <c r="A111" t="s">
        <v>14</v>
      </c>
      <c r="B111" t="s">
        <v>10</v>
      </c>
      <c r="C111" t="s">
        <v>39</v>
      </c>
      <c r="D111" s="1">
        <v>44663</v>
      </c>
      <c r="E111" s="1" t="str">
        <f>TEXT(Sales[[#This Row],[Date]],"mmm")</f>
        <v>Apr</v>
      </c>
      <c r="F111" s="1" t="str">
        <f t="shared" si="2"/>
        <v>2022</v>
      </c>
      <c r="G111" s="1" t="str">
        <f t="shared" si="3"/>
        <v>Tue</v>
      </c>
      <c r="H111" s="7">
        <v>1939</v>
      </c>
      <c r="I111" s="6">
        <v>520</v>
      </c>
    </row>
    <row r="112" spans="1:9" x14ac:dyDescent="0.25">
      <c r="A112" t="s">
        <v>55</v>
      </c>
      <c r="B112" t="s">
        <v>10</v>
      </c>
      <c r="C112" t="s">
        <v>39</v>
      </c>
      <c r="D112" s="1">
        <v>44748</v>
      </c>
      <c r="E112" s="1" t="str">
        <f>TEXT(Sales[[#This Row],[Date]],"mmm")</f>
        <v>Jul</v>
      </c>
      <c r="F112" s="1" t="str">
        <f t="shared" si="2"/>
        <v>2022</v>
      </c>
      <c r="G112" s="1" t="str">
        <f t="shared" si="3"/>
        <v>Wed</v>
      </c>
      <c r="H112" s="7">
        <v>10906</v>
      </c>
      <c r="I112" s="6">
        <v>94</v>
      </c>
    </row>
    <row r="113" spans="1:9" x14ac:dyDescent="0.25">
      <c r="A113" t="s">
        <v>49</v>
      </c>
      <c r="B113" t="s">
        <v>7</v>
      </c>
      <c r="C113" t="s">
        <v>16</v>
      </c>
      <c r="D113" s="1">
        <v>44580</v>
      </c>
      <c r="E113" s="1" t="str">
        <f>TEXT(Sales[[#This Row],[Date]],"mmm")</f>
        <v>Jan</v>
      </c>
      <c r="F113" s="1" t="str">
        <f t="shared" si="2"/>
        <v>2022</v>
      </c>
      <c r="G113" s="1" t="str">
        <f t="shared" si="3"/>
        <v>Wed</v>
      </c>
      <c r="H113" s="7">
        <v>5929</v>
      </c>
      <c r="I113" s="6">
        <v>175</v>
      </c>
    </row>
    <row r="114" spans="1:9" x14ac:dyDescent="0.25">
      <c r="A114" t="s">
        <v>53</v>
      </c>
      <c r="B114" t="s">
        <v>15</v>
      </c>
      <c r="C114" t="s">
        <v>42</v>
      </c>
      <c r="D114" s="1">
        <v>44566</v>
      </c>
      <c r="E114" s="1" t="str">
        <f>TEXT(Sales[[#This Row],[Date]],"mmm")</f>
        <v>Jan</v>
      </c>
      <c r="F114" s="1" t="str">
        <f t="shared" si="2"/>
        <v>2022</v>
      </c>
      <c r="G114" s="1" t="str">
        <f t="shared" si="3"/>
        <v>Wed</v>
      </c>
      <c r="H114" s="7">
        <v>5579</v>
      </c>
      <c r="I114" s="6">
        <v>92</v>
      </c>
    </row>
    <row r="115" spans="1:9" x14ac:dyDescent="0.25">
      <c r="A115" t="s">
        <v>53</v>
      </c>
      <c r="B115" t="s">
        <v>29</v>
      </c>
      <c r="C115" t="s">
        <v>58</v>
      </c>
      <c r="D115" s="1">
        <v>44585</v>
      </c>
      <c r="E115" s="1" t="str">
        <f>TEXT(Sales[[#This Row],[Date]],"mmm")</f>
        <v>Jan</v>
      </c>
      <c r="F115" s="1" t="str">
        <f t="shared" si="2"/>
        <v>2022</v>
      </c>
      <c r="G115" s="1" t="str">
        <f t="shared" si="3"/>
        <v>Mon</v>
      </c>
      <c r="H115" s="7">
        <v>10927</v>
      </c>
      <c r="I115" s="6">
        <v>141</v>
      </c>
    </row>
    <row r="116" spans="1:9" x14ac:dyDescent="0.25">
      <c r="A116" t="s">
        <v>46</v>
      </c>
      <c r="B116" t="s">
        <v>15</v>
      </c>
      <c r="C116" t="s">
        <v>32</v>
      </c>
      <c r="D116" s="1">
        <v>44657</v>
      </c>
      <c r="E116" s="1" t="str">
        <f>TEXT(Sales[[#This Row],[Date]],"mmm")</f>
        <v>Apr</v>
      </c>
      <c r="F116" s="1" t="str">
        <f t="shared" si="2"/>
        <v>2022</v>
      </c>
      <c r="G116" s="1" t="str">
        <f t="shared" si="3"/>
        <v>Wed</v>
      </c>
      <c r="H116" s="7">
        <v>623</v>
      </c>
      <c r="I116" s="6">
        <v>283</v>
      </c>
    </row>
    <row r="117" spans="1:9" x14ac:dyDescent="0.25">
      <c r="A117" t="s">
        <v>19</v>
      </c>
      <c r="B117" t="s">
        <v>15</v>
      </c>
      <c r="C117" t="s">
        <v>42</v>
      </c>
      <c r="D117" s="1">
        <v>44727</v>
      </c>
      <c r="E117" s="1" t="str">
        <f>TEXT(Sales[[#This Row],[Date]],"mmm")</f>
        <v>Jun</v>
      </c>
      <c r="F117" s="1" t="str">
        <f t="shared" si="2"/>
        <v>2022</v>
      </c>
      <c r="G117" s="1" t="str">
        <f t="shared" si="3"/>
        <v>Wed</v>
      </c>
      <c r="H117" s="7">
        <v>6013</v>
      </c>
      <c r="I117" s="6">
        <v>21</v>
      </c>
    </row>
    <row r="118" spans="1:9" x14ac:dyDescent="0.25">
      <c r="A118" t="s">
        <v>12</v>
      </c>
      <c r="B118" t="s">
        <v>29</v>
      </c>
      <c r="C118" t="s">
        <v>56</v>
      </c>
      <c r="D118" s="1">
        <v>44589</v>
      </c>
      <c r="E118" s="1" t="str">
        <f>TEXT(Sales[[#This Row],[Date]],"mmm")</f>
        <v>Jan</v>
      </c>
      <c r="F118" s="1" t="str">
        <f t="shared" si="2"/>
        <v>2022</v>
      </c>
      <c r="G118" s="1" t="str">
        <f t="shared" si="3"/>
        <v>Fri</v>
      </c>
      <c r="H118" s="7">
        <v>1505</v>
      </c>
      <c r="I118" s="6">
        <v>47</v>
      </c>
    </row>
    <row r="119" spans="1:9" x14ac:dyDescent="0.25">
      <c r="A119" t="s">
        <v>49</v>
      </c>
      <c r="B119" t="s">
        <v>10</v>
      </c>
      <c r="C119" t="s">
        <v>57</v>
      </c>
      <c r="D119" s="1">
        <v>44636</v>
      </c>
      <c r="E119" s="1" t="str">
        <f>TEXT(Sales[[#This Row],[Date]],"mmm")</f>
        <v>Mar</v>
      </c>
      <c r="F119" s="1" t="str">
        <f t="shared" si="2"/>
        <v>2022</v>
      </c>
      <c r="G119" s="1" t="str">
        <f t="shared" si="3"/>
        <v>Wed</v>
      </c>
      <c r="H119" s="7">
        <v>476</v>
      </c>
      <c r="I119" s="6">
        <v>125</v>
      </c>
    </row>
    <row r="120" spans="1:9" x14ac:dyDescent="0.25">
      <c r="A120" t="s">
        <v>24</v>
      </c>
      <c r="B120" t="s">
        <v>15</v>
      </c>
      <c r="C120" t="s">
        <v>32</v>
      </c>
      <c r="D120" s="1">
        <v>44613</v>
      </c>
      <c r="E120" s="1" t="str">
        <f>TEXT(Sales[[#This Row],[Date]],"mmm")</f>
        <v>Feb</v>
      </c>
      <c r="F120" s="1" t="str">
        <f t="shared" si="2"/>
        <v>2022</v>
      </c>
      <c r="G120" s="1" t="str">
        <f t="shared" si="3"/>
        <v>Mon</v>
      </c>
      <c r="H120" s="7">
        <v>11550</v>
      </c>
      <c r="I120" s="6">
        <v>396</v>
      </c>
    </row>
    <row r="121" spans="1:9" x14ac:dyDescent="0.25">
      <c r="A121" t="s">
        <v>49</v>
      </c>
      <c r="B121" t="s">
        <v>26</v>
      </c>
      <c r="C121" t="s">
        <v>45</v>
      </c>
      <c r="D121" s="1">
        <v>44608</v>
      </c>
      <c r="E121" s="1" t="str">
        <f>TEXT(Sales[[#This Row],[Date]],"mmm")</f>
        <v>Feb</v>
      </c>
      <c r="F121" s="1" t="str">
        <f t="shared" si="2"/>
        <v>2022</v>
      </c>
      <c r="G121" s="1" t="str">
        <f t="shared" si="3"/>
        <v>Wed</v>
      </c>
      <c r="H121" s="7">
        <v>17318</v>
      </c>
      <c r="I121" s="6">
        <v>87</v>
      </c>
    </row>
    <row r="122" spans="1:9" x14ac:dyDescent="0.25">
      <c r="A122" t="s">
        <v>6</v>
      </c>
      <c r="B122" t="s">
        <v>29</v>
      </c>
      <c r="C122" t="s">
        <v>39</v>
      </c>
      <c r="D122" s="1">
        <v>44574</v>
      </c>
      <c r="E122" s="1" t="str">
        <f>TEXT(Sales[[#This Row],[Date]],"mmm")</f>
        <v>Jan</v>
      </c>
      <c r="F122" s="1" t="str">
        <f t="shared" si="2"/>
        <v>2022</v>
      </c>
      <c r="G122" s="1" t="str">
        <f t="shared" si="3"/>
        <v>Thu</v>
      </c>
      <c r="H122" s="7">
        <v>1848</v>
      </c>
      <c r="I122" s="6">
        <v>27</v>
      </c>
    </row>
    <row r="123" spans="1:9" x14ac:dyDescent="0.25">
      <c r="A123" t="s">
        <v>49</v>
      </c>
      <c r="B123" t="s">
        <v>15</v>
      </c>
      <c r="C123" t="s">
        <v>30</v>
      </c>
      <c r="D123" s="1">
        <v>44643</v>
      </c>
      <c r="E123" s="1" t="str">
        <f>TEXT(Sales[[#This Row],[Date]],"mmm")</f>
        <v>Mar</v>
      </c>
      <c r="F123" s="1" t="str">
        <f t="shared" si="2"/>
        <v>2022</v>
      </c>
      <c r="G123" s="1" t="str">
        <f t="shared" si="3"/>
        <v>Wed</v>
      </c>
      <c r="H123" s="7">
        <v>7273</v>
      </c>
      <c r="I123" s="6">
        <v>547</v>
      </c>
    </row>
    <row r="124" spans="1:9" x14ac:dyDescent="0.25">
      <c r="A124" t="s">
        <v>38</v>
      </c>
      <c r="B124" t="s">
        <v>29</v>
      </c>
      <c r="C124" t="s">
        <v>39</v>
      </c>
      <c r="D124" s="1">
        <v>44728</v>
      </c>
      <c r="E124" s="1" t="str">
        <f>TEXT(Sales[[#This Row],[Date]],"mmm")</f>
        <v>Jun</v>
      </c>
      <c r="F124" s="1" t="str">
        <f t="shared" si="2"/>
        <v>2022</v>
      </c>
      <c r="G124" s="1" t="str">
        <f t="shared" si="3"/>
        <v>Thu</v>
      </c>
      <c r="H124" s="7">
        <v>854</v>
      </c>
      <c r="I124" s="6">
        <v>118</v>
      </c>
    </row>
    <row r="125" spans="1:9" x14ac:dyDescent="0.25">
      <c r="A125" t="s">
        <v>17</v>
      </c>
      <c r="B125" t="s">
        <v>10</v>
      </c>
      <c r="C125" t="s">
        <v>51</v>
      </c>
      <c r="D125" s="1">
        <v>44665</v>
      </c>
      <c r="E125" s="1" t="str">
        <f>TEXT(Sales[[#This Row],[Date]],"mmm")</f>
        <v>Apr</v>
      </c>
      <c r="F125" s="1" t="str">
        <f t="shared" si="2"/>
        <v>2022</v>
      </c>
      <c r="G125" s="1" t="str">
        <f t="shared" si="3"/>
        <v>Thu</v>
      </c>
      <c r="H125" s="7">
        <v>6832</v>
      </c>
      <c r="I125" s="6">
        <v>46</v>
      </c>
    </row>
    <row r="126" spans="1:9" x14ac:dyDescent="0.25">
      <c r="A126" t="s">
        <v>49</v>
      </c>
      <c r="B126" t="s">
        <v>7</v>
      </c>
      <c r="C126" t="s">
        <v>30</v>
      </c>
      <c r="D126" s="1">
        <v>44586</v>
      </c>
      <c r="E126" s="1" t="str">
        <f>TEXT(Sales[[#This Row],[Date]],"mmm")</f>
        <v>Jan</v>
      </c>
      <c r="F126" s="1" t="str">
        <f t="shared" si="2"/>
        <v>2022</v>
      </c>
      <c r="G126" s="1" t="str">
        <f t="shared" si="3"/>
        <v>Tue</v>
      </c>
      <c r="H126" s="7">
        <v>4606</v>
      </c>
      <c r="I126" s="6">
        <v>57</v>
      </c>
    </row>
    <row r="127" spans="1:9" x14ac:dyDescent="0.25">
      <c r="A127" t="s">
        <v>14</v>
      </c>
      <c r="B127" t="s">
        <v>10</v>
      </c>
      <c r="C127" t="s">
        <v>47</v>
      </c>
      <c r="D127" s="1">
        <v>44631</v>
      </c>
      <c r="E127" s="1" t="str">
        <f>TEXT(Sales[[#This Row],[Date]],"mmm")</f>
        <v>Mar</v>
      </c>
      <c r="F127" s="1" t="str">
        <f t="shared" si="2"/>
        <v>2022</v>
      </c>
      <c r="G127" s="1" t="str">
        <f t="shared" si="3"/>
        <v>Fri</v>
      </c>
      <c r="H127" s="7">
        <v>4466</v>
      </c>
      <c r="I127" s="6">
        <v>22</v>
      </c>
    </row>
    <row r="128" spans="1:9" x14ac:dyDescent="0.25">
      <c r="A128" t="s">
        <v>54</v>
      </c>
      <c r="B128" t="s">
        <v>7</v>
      </c>
      <c r="C128" t="s">
        <v>47</v>
      </c>
      <c r="D128" s="1">
        <v>44770</v>
      </c>
      <c r="E128" s="1" t="str">
        <f>TEXT(Sales[[#This Row],[Date]],"mmm")</f>
        <v>Jul</v>
      </c>
      <c r="F128" s="1" t="str">
        <f t="shared" si="2"/>
        <v>2022</v>
      </c>
      <c r="G128" s="1" t="str">
        <f t="shared" si="3"/>
        <v>Thu</v>
      </c>
      <c r="H128" s="7">
        <v>16114</v>
      </c>
      <c r="I128" s="6">
        <v>96</v>
      </c>
    </row>
    <row r="129" spans="1:9" x14ac:dyDescent="0.25">
      <c r="A129" t="s">
        <v>33</v>
      </c>
      <c r="B129" t="s">
        <v>21</v>
      </c>
      <c r="C129" t="s">
        <v>20</v>
      </c>
      <c r="D129" s="1">
        <v>44629</v>
      </c>
      <c r="E129" s="1" t="str">
        <f>TEXT(Sales[[#This Row],[Date]],"mmm")</f>
        <v>Mar</v>
      </c>
      <c r="F129" s="1" t="str">
        <f t="shared" si="2"/>
        <v>2022</v>
      </c>
      <c r="G129" s="1" t="str">
        <f t="shared" si="3"/>
        <v>Wed</v>
      </c>
      <c r="H129" s="7">
        <v>1561</v>
      </c>
      <c r="I129" s="6">
        <v>44</v>
      </c>
    </row>
    <row r="130" spans="1:9" x14ac:dyDescent="0.25">
      <c r="A130" t="s">
        <v>40</v>
      </c>
      <c r="B130" t="s">
        <v>15</v>
      </c>
      <c r="C130" t="s">
        <v>27</v>
      </c>
      <c r="D130" s="1">
        <v>44740</v>
      </c>
      <c r="E130" s="1" t="str">
        <f>TEXT(Sales[[#This Row],[Date]],"mmm")</f>
        <v>Jun</v>
      </c>
      <c r="F130" s="1" t="str">
        <f t="shared" ref="F130:F193" si="4">TEXT(D:D,"yyyy")</f>
        <v>2022</v>
      </c>
      <c r="G130" s="1" t="str">
        <f t="shared" ref="G130:G193" si="5">TEXT(D:D,"ddd")</f>
        <v>Tue</v>
      </c>
      <c r="H130" s="7">
        <v>8897</v>
      </c>
      <c r="I130" s="6">
        <v>188</v>
      </c>
    </row>
    <row r="131" spans="1:9" x14ac:dyDescent="0.25">
      <c r="A131" t="s">
        <v>33</v>
      </c>
      <c r="B131" t="s">
        <v>15</v>
      </c>
      <c r="C131" t="s">
        <v>37</v>
      </c>
      <c r="D131" s="1">
        <v>44770</v>
      </c>
      <c r="E131" s="1" t="str">
        <f>TEXT(Sales[[#This Row],[Date]],"mmm")</f>
        <v>Jul</v>
      </c>
      <c r="F131" s="1" t="str">
        <f t="shared" si="4"/>
        <v>2022</v>
      </c>
      <c r="G131" s="1" t="str">
        <f t="shared" si="5"/>
        <v>Thu</v>
      </c>
      <c r="H131" s="7">
        <v>2464</v>
      </c>
      <c r="I131" s="6">
        <v>387</v>
      </c>
    </row>
    <row r="132" spans="1:9" x14ac:dyDescent="0.25">
      <c r="A132" t="s">
        <v>49</v>
      </c>
      <c r="B132" t="s">
        <v>29</v>
      </c>
      <c r="C132" t="s">
        <v>18</v>
      </c>
      <c r="D132" s="1">
        <v>44788</v>
      </c>
      <c r="E132" s="1" t="str">
        <f>TEXT(Sales[[#This Row],[Date]],"mmm")</f>
        <v>Aug</v>
      </c>
      <c r="F132" s="1" t="str">
        <f t="shared" si="4"/>
        <v>2022</v>
      </c>
      <c r="G132" s="1" t="str">
        <f t="shared" si="5"/>
        <v>Mon</v>
      </c>
      <c r="H132" s="7">
        <v>4830</v>
      </c>
      <c r="I132" s="6">
        <v>50</v>
      </c>
    </row>
    <row r="133" spans="1:9" x14ac:dyDescent="0.25">
      <c r="A133" t="s">
        <v>41</v>
      </c>
      <c r="B133" t="s">
        <v>15</v>
      </c>
      <c r="C133" t="s">
        <v>45</v>
      </c>
      <c r="D133" s="1">
        <v>44573</v>
      </c>
      <c r="E133" s="1" t="str">
        <f>TEXT(Sales[[#This Row],[Date]],"mmm")</f>
        <v>Jan</v>
      </c>
      <c r="F133" s="1" t="str">
        <f t="shared" si="4"/>
        <v>2022</v>
      </c>
      <c r="G133" s="1" t="str">
        <f t="shared" si="5"/>
        <v>Wed</v>
      </c>
      <c r="H133" s="7">
        <v>2765</v>
      </c>
      <c r="I133" s="6">
        <v>264</v>
      </c>
    </row>
    <row r="134" spans="1:9" x14ac:dyDescent="0.25">
      <c r="A134" t="s">
        <v>34</v>
      </c>
      <c r="B134" t="s">
        <v>21</v>
      </c>
      <c r="C134" t="s">
        <v>44</v>
      </c>
      <c r="D134" s="1">
        <v>44644</v>
      </c>
      <c r="E134" s="1" t="str">
        <f>TEXT(Sales[[#This Row],[Date]],"mmm")</f>
        <v>Mar</v>
      </c>
      <c r="F134" s="1" t="str">
        <f t="shared" si="4"/>
        <v>2022</v>
      </c>
      <c r="G134" s="1" t="str">
        <f t="shared" si="5"/>
        <v>Thu</v>
      </c>
      <c r="H134" s="7">
        <v>7126</v>
      </c>
      <c r="I134" s="6">
        <v>7</v>
      </c>
    </row>
    <row r="135" spans="1:9" x14ac:dyDescent="0.25">
      <c r="A135" t="s">
        <v>9</v>
      </c>
      <c r="B135" t="s">
        <v>7</v>
      </c>
      <c r="C135" t="s">
        <v>37</v>
      </c>
      <c r="D135" s="1">
        <v>44767</v>
      </c>
      <c r="E135" s="1" t="str">
        <f>TEXT(Sales[[#This Row],[Date]],"mmm")</f>
        <v>Jul</v>
      </c>
      <c r="F135" s="1" t="str">
        <f t="shared" si="4"/>
        <v>2022</v>
      </c>
      <c r="G135" s="1" t="str">
        <f t="shared" si="5"/>
        <v>Mon</v>
      </c>
      <c r="H135" s="7">
        <v>4263</v>
      </c>
      <c r="I135" s="6">
        <v>90</v>
      </c>
    </row>
    <row r="136" spans="1:9" x14ac:dyDescent="0.25">
      <c r="A136" t="s">
        <v>17</v>
      </c>
      <c r="B136" t="s">
        <v>29</v>
      </c>
      <c r="C136" t="s">
        <v>18</v>
      </c>
      <c r="D136" s="1">
        <v>44774</v>
      </c>
      <c r="E136" s="1" t="str">
        <f>TEXT(Sales[[#This Row],[Date]],"mmm")</f>
        <v>Aug</v>
      </c>
      <c r="F136" s="1" t="str">
        <f t="shared" si="4"/>
        <v>2022</v>
      </c>
      <c r="G136" s="1" t="str">
        <f t="shared" si="5"/>
        <v>Mon</v>
      </c>
      <c r="H136" s="7">
        <v>3605</v>
      </c>
      <c r="I136" s="6">
        <v>403</v>
      </c>
    </row>
    <row r="137" spans="1:9" x14ac:dyDescent="0.25">
      <c r="A137" t="s">
        <v>9</v>
      </c>
      <c r="B137" t="s">
        <v>10</v>
      </c>
      <c r="C137" t="s">
        <v>35</v>
      </c>
      <c r="D137" s="1">
        <v>44697</v>
      </c>
      <c r="E137" s="1" t="str">
        <f>TEXT(Sales[[#This Row],[Date]],"mmm")</f>
        <v>May</v>
      </c>
      <c r="F137" s="1" t="str">
        <f t="shared" si="4"/>
        <v>2022</v>
      </c>
      <c r="G137" s="1" t="str">
        <f t="shared" si="5"/>
        <v>Mon</v>
      </c>
      <c r="H137" s="7">
        <v>19929</v>
      </c>
      <c r="I137" s="6">
        <v>174</v>
      </c>
    </row>
    <row r="138" spans="1:9" x14ac:dyDescent="0.25">
      <c r="A138" t="s">
        <v>36</v>
      </c>
      <c r="B138" t="s">
        <v>10</v>
      </c>
      <c r="C138" t="s">
        <v>16</v>
      </c>
      <c r="D138" s="1">
        <v>44783</v>
      </c>
      <c r="E138" s="1" t="str">
        <f>TEXT(Sales[[#This Row],[Date]],"mmm")</f>
        <v>Aug</v>
      </c>
      <c r="F138" s="1" t="str">
        <f t="shared" si="4"/>
        <v>2022</v>
      </c>
      <c r="G138" s="1" t="str">
        <f t="shared" si="5"/>
        <v>Wed</v>
      </c>
      <c r="H138" s="7">
        <v>5103</v>
      </c>
      <c r="I138" s="6">
        <v>140</v>
      </c>
    </row>
    <row r="139" spans="1:9" x14ac:dyDescent="0.25">
      <c r="A139" t="s">
        <v>14</v>
      </c>
      <c r="B139" t="s">
        <v>10</v>
      </c>
      <c r="C139" t="s">
        <v>30</v>
      </c>
      <c r="D139" s="1">
        <v>44566</v>
      </c>
      <c r="E139" s="1" t="str">
        <f>TEXT(Sales[[#This Row],[Date]],"mmm")</f>
        <v>Jan</v>
      </c>
      <c r="F139" s="1" t="str">
        <f t="shared" si="4"/>
        <v>2022</v>
      </c>
      <c r="G139" s="1" t="str">
        <f t="shared" si="5"/>
        <v>Wed</v>
      </c>
      <c r="H139" s="7">
        <v>2541</v>
      </c>
      <c r="I139" s="6">
        <v>27</v>
      </c>
    </row>
    <row r="140" spans="1:9" x14ac:dyDescent="0.25">
      <c r="A140" t="s">
        <v>55</v>
      </c>
      <c r="B140" t="s">
        <v>7</v>
      </c>
      <c r="C140" t="s">
        <v>16</v>
      </c>
      <c r="D140" s="1">
        <v>44753</v>
      </c>
      <c r="E140" s="1" t="str">
        <f>TEXT(Sales[[#This Row],[Date]],"mmm")</f>
        <v>Jul</v>
      </c>
      <c r="F140" s="1" t="str">
        <f t="shared" si="4"/>
        <v>2022</v>
      </c>
      <c r="G140" s="1" t="str">
        <f t="shared" si="5"/>
        <v>Mon</v>
      </c>
      <c r="H140" s="7">
        <v>5663</v>
      </c>
      <c r="I140" s="6">
        <v>110</v>
      </c>
    </row>
    <row r="141" spans="1:9" x14ac:dyDescent="0.25">
      <c r="A141" t="s">
        <v>46</v>
      </c>
      <c r="B141" t="s">
        <v>26</v>
      </c>
      <c r="C141" t="s">
        <v>20</v>
      </c>
      <c r="D141" s="1">
        <v>44676</v>
      </c>
      <c r="E141" s="1" t="str">
        <f>TEXT(Sales[[#This Row],[Date]],"mmm")</f>
        <v>Apr</v>
      </c>
      <c r="F141" s="1" t="str">
        <f t="shared" si="4"/>
        <v>2022</v>
      </c>
      <c r="G141" s="1" t="str">
        <f t="shared" si="5"/>
        <v>Mon</v>
      </c>
      <c r="H141" s="7">
        <v>392</v>
      </c>
      <c r="I141" s="6">
        <v>30</v>
      </c>
    </row>
    <row r="142" spans="1:9" x14ac:dyDescent="0.25">
      <c r="A142" t="s">
        <v>12</v>
      </c>
      <c r="B142" t="s">
        <v>21</v>
      </c>
      <c r="C142" t="s">
        <v>42</v>
      </c>
      <c r="D142" s="1">
        <v>44655</v>
      </c>
      <c r="E142" s="1" t="str">
        <f>TEXT(Sales[[#This Row],[Date]],"mmm")</f>
        <v>Apr</v>
      </c>
      <c r="F142" s="1" t="str">
        <f t="shared" si="4"/>
        <v>2022</v>
      </c>
      <c r="G142" s="1" t="str">
        <f t="shared" si="5"/>
        <v>Mon</v>
      </c>
      <c r="H142" s="7">
        <v>10976</v>
      </c>
      <c r="I142" s="6">
        <v>121</v>
      </c>
    </row>
    <row r="143" spans="1:9" x14ac:dyDescent="0.25">
      <c r="A143" t="s">
        <v>25</v>
      </c>
      <c r="B143" t="s">
        <v>26</v>
      </c>
      <c r="C143" t="s">
        <v>51</v>
      </c>
      <c r="D143" s="1">
        <v>44663</v>
      </c>
      <c r="E143" s="1" t="str">
        <f>TEXT(Sales[[#This Row],[Date]],"mmm")</f>
        <v>Apr</v>
      </c>
      <c r="F143" s="1" t="str">
        <f t="shared" si="4"/>
        <v>2022</v>
      </c>
      <c r="G143" s="1" t="str">
        <f t="shared" si="5"/>
        <v>Tue</v>
      </c>
      <c r="H143" s="7">
        <v>9282</v>
      </c>
      <c r="I143" s="6">
        <v>101</v>
      </c>
    </row>
    <row r="144" spans="1:9" x14ac:dyDescent="0.25">
      <c r="A144" t="s">
        <v>46</v>
      </c>
      <c r="B144" t="s">
        <v>21</v>
      </c>
      <c r="C144" t="s">
        <v>11</v>
      </c>
      <c r="D144" s="1">
        <v>44775</v>
      </c>
      <c r="E144" s="1" t="str">
        <f>TEXT(Sales[[#This Row],[Date]],"mmm")</f>
        <v>Aug</v>
      </c>
      <c r="F144" s="1" t="str">
        <f t="shared" si="4"/>
        <v>2022</v>
      </c>
      <c r="G144" s="1" t="str">
        <f t="shared" si="5"/>
        <v>Tue</v>
      </c>
      <c r="H144" s="7">
        <v>1827</v>
      </c>
      <c r="I144" s="6">
        <v>117</v>
      </c>
    </row>
    <row r="145" spans="1:9" x14ac:dyDescent="0.25">
      <c r="A145" t="s">
        <v>12</v>
      </c>
      <c r="B145" t="s">
        <v>21</v>
      </c>
      <c r="C145" t="s">
        <v>45</v>
      </c>
      <c r="D145" s="1">
        <v>44740</v>
      </c>
      <c r="E145" s="1" t="str">
        <f>TEXT(Sales[[#This Row],[Date]],"mmm")</f>
        <v>Jun</v>
      </c>
      <c r="F145" s="1" t="str">
        <f t="shared" si="4"/>
        <v>2022</v>
      </c>
      <c r="G145" s="1" t="str">
        <f t="shared" si="5"/>
        <v>Tue</v>
      </c>
      <c r="H145" s="7">
        <v>8267</v>
      </c>
      <c r="I145" s="6">
        <v>272</v>
      </c>
    </row>
    <row r="146" spans="1:9" x14ac:dyDescent="0.25">
      <c r="A146" t="s">
        <v>55</v>
      </c>
      <c r="B146" t="s">
        <v>15</v>
      </c>
      <c r="C146" t="s">
        <v>30</v>
      </c>
      <c r="D146" s="1">
        <v>44747</v>
      </c>
      <c r="E146" s="1" t="str">
        <f>TEXT(Sales[[#This Row],[Date]],"mmm")</f>
        <v>Jul</v>
      </c>
      <c r="F146" s="1" t="str">
        <f t="shared" si="4"/>
        <v>2022</v>
      </c>
      <c r="G146" s="1" t="str">
        <f t="shared" si="5"/>
        <v>Tue</v>
      </c>
      <c r="H146" s="7">
        <v>4116</v>
      </c>
      <c r="I146" s="6">
        <v>128</v>
      </c>
    </row>
    <row r="147" spans="1:9" x14ac:dyDescent="0.25">
      <c r="A147" t="s">
        <v>24</v>
      </c>
      <c r="B147" t="s">
        <v>21</v>
      </c>
      <c r="C147" t="s">
        <v>52</v>
      </c>
      <c r="D147" s="1">
        <v>44719</v>
      </c>
      <c r="E147" s="1" t="str">
        <f>TEXT(Sales[[#This Row],[Date]],"mmm")</f>
        <v>Jun</v>
      </c>
      <c r="F147" s="1" t="str">
        <f t="shared" si="4"/>
        <v>2022</v>
      </c>
      <c r="G147" s="1" t="str">
        <f t="shared" si="5"/>
        <v>Tue</v>
      </c>
      <c r="H147" s="7">
        <v>2093</v>
      </c>
      <c r="I147" s="6">
        <v>45</v>
      </c>
    </row>
    <row r="148" spans="1:9" x14ac:dyDescent="0.25">
      <c r="A148" t="s">
        <v>23</v>
      </c>
      <c r="B148" t="s">
        <v>21</v>
      </c>
      <c r="C148" t="s">
        <v>16</v>
      </c>
      <c r="D148" s="1">
        <v>44579</v>
      </c>
      <c r="E148" s="1" t="str">
        <f>TEXT(Sales[[#This Row],[Date]],"mmm")</f>
        <v>Jan</v>
      </c>
      <c r="F148" s="1" t="str">
        <f t="shared" si="4"/>
        <v>2022</v>
      </c>
      <c r="G148" s="1" t="str">
        <f t="shared" si="5"/>
        <v>Tue</v>
      </c>
      <c r="H148" s="7">
        <v>1015</v>
      </c>
      <c r="I148" s="6">
        <v>27</v>
      </c>
    </row>
    <row r="149" spans="1:9" x14ac:dyDescent="0.25">
      <c r="A149" t="s">
        <v>23</v>
      </c>
      <c r="B149" t="s">
        <v>15</v>
      </c>
      <c r="C149" t="s">
        <v>56</v>
      </c>
      <c r="D149" s="1">
        <v>44565</v>
      </c>
      <c r="E149" s="1" t="str">
        <f>TEXT(Sales[[#This Row],[Date]],"mmm")</f>
        <v>Jan</v>
      </c>
      <c r="F149" s="1" t="str">
        <f t="shared" si="4"/>
        <v>2022</v>
      </c>
      <c r="G149" s="1" t="str">
        <f t="shared" si="5"/>
        <v>Tue</v>
      </c>
      <c r="H149" s="7">
        <v>12516</v>
      </c>
      <c r="I149" s="6">
        <v>212</v>
      </c>
    </row>
    <row r="150" spans="1:9" x14ac:dyDescent="0.25">
      <c r="A150" t="s">
        <v>43</v>
      </c>
      <c r="B150" t="s">
        <v>15</v>
      </c>
      <c r="C150" t="s">
        <v>18</v>
      </c>
      <c r="D150" s="1">
        <v>44592</v>
      </c>
      <c r="E150" s="1" t="str">
        <f>TEXT(Sales[[#This Row],[Date]],"mmm")</f>
        <v>Jan</v>
      </c>
      <c r="F150" s="1" t="str">
        <f t="shared" si="4"/>
        <v>2022</v>
      </c>
      <c r="G150" s="1" t="str">
        <f t="shared" si="5"/>
        <v>Mon</v>
      </c>
      <c r="H150" s="7">
        <v>2758</v>
      </c>
      <c r="I150" s="6">
        <v>18</v>
      </c>
    </row>
    <row r="151" spans="1:9" x14ac:dyDescent="0.25">
      <c r="A151" t="s">
        <v>49</v>
      </c>
      <c r="B151" t="s">
        <v>10</v>
      </c>
      <c r="C151" t="s">
        <v>47</v>
      </c>
      <c r="D151" s="1">
        <v>44634</v>
      </c>
      <c r="E151" s="1" t="str">
        <f>TEXT(Sales[[#This Row],[Date]],"mmm")</f>
        <v>Mar</v>
      </c>
      <c r="F151" s="1" t="str">
        <f t="shared" si="4"/>
        <v>2022</v>
      </c>
      <c r="G151" s="1" t="str">
        <f t="shared" si="5"/>
        <v>Mon</v>
      </c>
      <c r="H151" s="7">
        <v>3297</v>
      </c>
      <c r="I151" s="6">
        <v>149</v>
      </c>
    </row>
    <row r="152" spans="1:9" x14ac:dyDescent="0.25">
      <c r="A152" t="s">
        <v>50</v>
      </c>
      <c r="B152" t="s">
        <v>15</v>
      </c>
      <c r="C152" t="s">
        <v>58</v>
      </c>
      <c r="D152" s="1">
        <v>44680</v>
      </c>
      <c r="E152" s="1" t="str">
        <f>TEXT(Sales[[#This Row],[Date]],"mmm")</f>
        <v>Apr</v>
      </c>
      <c r="F152" s="1" t="str">
        <f t="shared" si="4"/>
        <v>2022</v>
      </c>
      <c r="G152" s="1" t="str">
        <f t="shared" si="5"/>
        <v>Fri</v>
      </c>
      <c r="H152" s="7">
        <v>6048</v>
      </c>
      <c r="I152" s="6">
        <v>477</v>
      </c>
    </row>
    <row r="153" spans="1:9" x14ac:dyDescent="0.25">
      <c r="A153" t="s">
        <v>17</v>
      </c>
      <c r="B153" t="s">
        <v>10</v>
      </c>
      <c r="C153" t="s">
        <v>16</v>
      </c>
      <c r="D153" s="1">
        <v>44599</v>
      </c>
      <c r="E153" s="1" t="str">
        <f>TEXT(Sales[[#This Row],[Date]],"mmm")</f>
        <v>Feb</v>
      </c>
      <c r="F153" s="1" t="str">
        <f t="shared" si="4"/>
        <v>2022</v>
      </c>
      <c r="G153" s="1" t="str">
        <f t="shared" si="5"/>
        <v>Mon</v>
      </c>
      <c r="H153" s="7">
        <v>10101</v>
      </c>
      <c r="I153" s="6">
        <v>108</v>
      </c>
    </row>
    <row r="154" spans="1:9" x14ac:dyDescent="0.25">
      <c r="A154" t="s">
        <v>41</v>
      </c>
      <c r="B154" t="s">
        <v>7</v>
      </c>
      <c r="C154" t="s">
        <v>35</v>
      </c>
      <c r="D154" s="1">
        <v>44651</v>
      </c>
      <c r="E154" s="1" t="str">
        <f>TEXT(Sales[[#This Row],[Date]],"mmm")</f>
        <v>Mar</v>
      </c>
      <c r="F154" s="1" t="str">
        <f t="shared" si="4"/>
        <v>2022</v>
      </c>
      <c r="G154" s="1" t="str">
        <f t="shared" si="5"/>
        <v>Thu</v>
      </c>
      <c r="H154" s="7">
        <v>2282</v>
      </c>
      <c r="I154" s="6">
        <v>178</v>
      </c>
    </row>
    <row r="155" spans="1:9" x14ac:dyDescent="0.25">
      <c r="A155" t="s">
        <v>33</v>
      </c>
      <c r="B155" t="s">
        <v>10</v>
      </c>
      <c r="C155" t="s">
        <v>57</v>
      </c>
      <c r="D155" s="1">
        <v>44636</v>
      </c>
      <c r="E155" s="1" t="str">
        <f>TEXT(Sales[[#This Row],[Date]],"mmm")</f>
        <v>Mar</v>
      </c>
      <c r="F155" s="1" t="str">
        <f t="shared" si="4"/>
        <v>2022</v>
      </c>
      <c r="G155" s="1" t="str">
        <f t="shared" si="5"/>
        <v>Wed</v>
      </c>
      <c r="H155" s="7">
        <v>4361</v>
      </c>
      <c r="I155" s="6">
        <v>81</v>
      </c>
    </row>
    <row r="156" spans="1:9" x14ac:dyDescent="0.25">
      <c r="A156" t="s">
        <v>31</v>
      </c>
      <c r="B156" t="s">
        <v>7</v>
      </c>
      <c r="C156" t="s">
        <v>30</v>
      </c>
      <c r="D156" s="1">
        <v>44586</v>
      </c>
      <c r="E156" s="1" t="str">
        <f>TEXT(Sales[[#This Row],[Date]],"mmm")</f>
        <v>Jan</v>
      </c>
      <c r="F156" s="1" t="str">
        <f t="shared" si="4"/>
        <v>2022</v>
      </c>
      <c r="G156" s="1" t="str">
        <f t="shared" si="5"/>
        <v>Tue</v>
      </c>
      <c r="H156" s="7">
        <v>7798</v>
      </c>
      <c r="I156" s="6">
        <v>196</v>
      </c>
    </row>
    <row r="157" spans="1:9" x14ac:dyDescent="0.25">
      <c r="A157" t="s">
        <v>9</v>
      </c>
      <c r="B157" t="s">
        <v>10</v>
      </c>
      <c r="C157" t="s">
        <v>56</v>
      </c>
      <c r="D157" s="1">
        <v>44732</v>
      </c>
      <c r="E157" s="1" t="str">
        <f>TEXT(Sales[[#This Row],[Date]],"mmm")</f>
        <v>Jun</v>
      </c>
      <c r="F157" s="1" t="str">
        <f t="shared" si="4"/>
        <v>2022</v>
      </c>
      <c r="G157" s="1" t="str">
        <f t="shared" si="5"/>
        <v>Mon</v>
      </c>
      <c r="H157" s="7">
        <v>3052</v>
      </c>
      <c r="I157" s="6">
        <v>447</v>
      </c>
    </row>
    <row r="158" spans="1:9" x14ac:dyDescent="0.25">
      <c r="A158" t="s">
        <v>12</v>
      </c>
      <c r="B158" t="s">
        <v>7</v>
      </c>
      <c r="C158" t="s">
        <v>20</v>
      </c>
      <c r="D158" s="1">
        <v>44649</v>
      </c>
      <c r="E158" s="1" t="str">
        <f>TEXT(Sales[[#This Row],[Date]],"mmm")</f>
        <v>Mar</v>
      </c>
      <c r="F158" s="1" t="str">
        <f t="shared" si="4"/>
        <v>2022</v>
      </c>
      <c r="G158" s="1" t="str">
        <f t="shared" si="5"/>
        <v>Tue</v>
      </c>
      <c r="H158" s="7">
        <v>8029</v>
      </c>
      <c r="I158" s="6">
        <v>175</v>
      </c>
    </row>
    <row r="159" spans="1:9" x14ac:dyDescent="0.25">
      <c r="A159" t="s">
        <v>38</v>
      </c>
      <c r="B159" t="s">
        <v>15</v>
      </c>
      <c r="C159" t="s">
        <v>27</v>
      </c>
      <c r="D159" s="1">
        <v>44754</v>
      </c>
      <c r="E159" s="1" t="str">
        <f>TEXT(Sales[[#This Row],[Date]],"mmm")</f>
        <v>Jul</v>
      </c>
      <c r="F159" s="1" t="str">
        <f t="shared" si="4"/>
        <v>2022</v>
      </c>
      <c r="G159" s="1" t="str">
        <f t="shared" si="5"/>
        <v>Tue</v>
      </c>
      <c r="H159" s="7">
        <v>854</v>
      </c>
      <c r="I159" s="6">
        <v>136</v>
      </c>
    </row>
    <row r="160" spans="1:9" x14ac:dyDescent="0.25">
      <c r="A160" t="s">
        <v>6</v>
      </c>
      <c r="B160" t="s">
        <v>29</v>
      </c>
      <c r="C160" t="s">
        <v>16</v>
      </c>
      <c r="D160" s="1">
        <v>44753</v>
      </c>
      <c r="E160" s="1" t="str">
        <f>TEXT(Sales[[#This Row],[Date]],"mmm")</f>
        <v>Jul</v>
      </c>
      <c r="F160" s="1" t="str">
        <f t="shared" si="4"/>
        <v>2022</v>
      </c>
      <c r="G160" s="1" t="str">
        <f t="shared" si="5"/>
        <v>Mon</v>
      </c>
      <c r="H160" s="7">
        <v>5460</v>
      </c>
      <c r="I160" s="6">
        <v>138</v>
      </c>
    </row>
    <row r="161" spans="1:9" x14ac:dyDescent="0.25">
      <c r="A161" t="s">
        <v>31</v>
      </c>
      <c r="B161" t="s">
        <v>29</v>
      </c>
      <c r="C161" t="s">
        <v>16</v>
      </c>
      <c r="D161" s="1">
        <v>44580</v>
      </c>
      <c r="E161" s="1" t="str">
        <f>TEXT(Sales[[#This Row],[Date]],"mmm")</f>
        <v>Jan</v>
      </c>
      <c r="F161" s="1" t="str">
        <f t="shared" si="4"/>
        <v>2022</v>
      </c>
      <c r="G161" s="1" t="str">
        <f t="shared" si="5"/>
        <v>Wed</v>
      </c>
      <c r="H161" s="7">
        <v>3017</v>
      </c>
      <c r="I161" s="6">
        <v>184</v>
      </c>
    </row>
    <row r="162" spans="1:9" x14ac:dyDescent="0.25">
      <c r="A162" t="s">
        <v>48</v>
      </c>
      <c r="B162" t="s">
        <v>26</v>
      </c>
      <c r="C162" t="s">
        <v>11</v>
      </c>
      <c r="D162" s="1">
        <v>44656</v>
      </c>
      <c r="E162" s="1" t="str">
        <f>TEXT(Sales[[#This Row],[Date]],"mmm")</f>
        <v>Apr</v>
      </c>
      <c r="F162" s="1" t="str">
        <f t="shared" si="4"/>
        <v>2022</v>
      </c>
      <c r="G162" s="1" t="str">
        <f t="shared" si="5"/>
        <v>Tue</v>
      </c>
      <c r="H162" s="7">
        <v>8911</v>
      </c>
      <c r="I162" s="6">
        <v>82</v>
      </c>
    </row>
    <row r="163" spans="1:9" x14ac:dyDescent="0.25">
      <c r="A163" t="s">
        <v>6</v>
      </c>
      <c r="B163" t="s">
        <v>29</v>
      </c>
      <c r="C163" t="s">
        <v>37</v>
      </c>
      <c r="D163" s="1">
        <v>44613</v>
      </c>
      <c r="E163" s="1" t="str">
        <f>TEXT(Sales[[#This Row],[Date]],"mmm")</f>
        <v>Feb</v>
      </c>
      <c r="F163" s="1" t="str">
        <f t="shared" si="4"/>
        <v>2022</v>
      </c>
      <c r="G163" s="1" t="str">
        <f t="shared" si="5"/>
        <v>Mon</v>
      </c>
      <c r="H163" s="7">
        <v>7203</v>
      </c>
      <c r="I163" s="6">
        <v>12</v>
      </c>
    </row>
    <row r="164" spans="1:9" x14ac:dyDescent="0.25">
      <c r="A164" t="s">
        <v>24</v>
      </c>
      <c r="B164" t="s">
        <v>21</v>
      </c>
      <c r="C164" t="s">
        <v>57</v>
      </c>
      <c r="D164" s="1">
        <v>44701</v>
      </c>
      <c r="E164" s="1" t="str">
        <f>TEXT(Sales[[#This Row],[Date]],"mmm")</f>
        <v>May</v>
      </c>
      <c r="F164" s="1" t="str">
        <f t="shared" si="4"/>
        <v>2022</v>
      </c>
      <c r="G164" s="1" t="str">
        <f t="shared" si="5"/>
        <v>Fri</v>
      </c>
      <c r="H164" s="7">
        <v>13083</v>
      </c>
      <c r="I164" s="6">
        <v>14</v>
      </c>
    </row>
    <row r="165" spans="1:9" x14ac:dyDescent="0.25">
      <c r="A165" t="s">
        <v>28</v>
      </c>
      <c r="B165" t="s">
        <v>15</v>
      </c>
      <c r="C165" t="s">
        <v>37</v>
      </c>
      <c r="D165" s="1">
        <v>44771</v>
      </c>
      <c r="E165" s="1" t="str">
        <f>TEXT(Sales[[#This Row],[Date]],"mmm")</f>
        <v>Jul</v>
      </c>
      <c r="F165" s="1" t="str">
        <f t="shared" si="4"/>
        <v>2022</v>
      </c>
      <c r="G165" s="1" t="str">
        <f t="shared" si="5"/>
        <v>Fri</v>
      </c>
      <c r="H165" s="7">
        <v>2779</v>
      </c>
      <c r="I165" s="6">
        <v>104</v>
      </c>
    </row>
    <row r="166" spans="1:9" x14ac:dyDescent="0.25">
      <c r="A166" t="s">
        <v>25</v>
      </c>
      <c r="B166" t="s">
        <v>26</v>
      </c>
      <c r="C166" t="s">
        <v>42</v>
      </c>
      <c r="D166" s="1">
        <v>44589</v>
      </c>
      <c r="E166" s="1" t="str">
        <f>TEXT(Sales[[#This Row],[Date]],"mmm")</f>
        <v>Jan</v>
      </c>
      <c r="F166" s="1" t="str">
        <f t="shared" si="4"/>
        <v>2022</v>
      </c>
      <c r="G166" s="1" t="str">
        <f t="shared" si="5"/>
        <v>Fri</v>
      </c>
      <c r="H166" s="7">
        <v>9058</v>
      </c>
      <c r="I166" s="6">
        <v>46</v>
      </c>
    </row>
    <row r="167" spans="1:9" x14ac:dyDescent="0.25">
      <c r="A167" t="s">
        <v>33</v>
      </c>
      <c r="B167" t="s">
        <v>7</v>
      </c>
      <c r="C167" t="s">
        <v>57</v>
      </c>
      <c r="D167" s="1">
        <v>44761</v>
      </c>
      <c r="E167" s="1" t="str">
        <f>TEXT(Sales[[#This Row],[Date]],"mmm")</f>
        <v>Jul</v>
      </c>
      <c r="F167" s="1" t="str">
        <f t="shared" si="4"/>
        <v>2022</v>
      </c>
      <c r="G167" s="1" t="str">
        <f t="shared" si="5"/>
        <v>Tue</v>
      </c>
      <c r="H167" s="7">
        <v>3549</v>
      </c>
      <c r="I167" s="6">
        <v>112</v>
      </c>
    </row>
    <row r="168" spans="1:9" x14ac:dyDescent="0.25">
      <c r="A168" t="s">
        <v>28</v>
      </c>
      <c r="B168" t="s">
        <v>21</v>
      </c>
      <c r="C168" t="s">
        <v>45</v>
      </c>
      <c r="D168" s="1">
        <v>44664</v>
      </c>
      <c r="E168" s="1" t="str">
        <f>TEXT(Sales[[#This Row],[Date]],"mmm")</f>
        <v>Apr</v>
      </c>
      <c r="F168" s="1" t="str">
        <f t="shared" si="4"/>
        <v>2022</v>
      </c>
      <c r="G168" s="1" t="str">
        <f t="shared" si="5"/>
        <v>Wed</v>
      </c>
      <c r="H168" s="7">
        <v>9436</v>
      </c>
      <c r="I168" s="6">
        <v>11</v>
      </c>
    </row>
    <row r="169" spans="1:9" x14ac:dyDescent="0.25">
      <c r="A169" t="s">
        <v>36</v>
      </c>
      <c r="B169" t="s">
        <v>10</v>
      </c>
      <c r="C169" t="s">
        <v>13</v>
      </c>
      <c r="D169" s="1">
        <v>44603</v>
      </c>
      <c r="E169" s="1" t="str">
        <f>TEXT(Sales[[#This Row],[Date]],"mmm")</f>
        <v>Feb</v>
      </c>
      <c r="F169" s="1" t="str">
        <f t="shared" si="4"/>
        <v>2022</v>
      </c>
      <c r="G169" s="1" t="str">
        <f t="shared" si="5"/>
        <v>Fri</v>
      </c>
      <c r="H169" s="7">
        <v>10283</v>
      </c>
      <c r="I169" s="6">
        <v>21</v>
      </c>
    </row>
    <row r="170" spans="1:9" x14ac:dyDescent="0.25">
      <c r="A170" t="s">
        <v>36</v>
      </c>
      <c r="B170" t="s">
        <v>21</v>
      </c>
      <c r="C170" t="s">
        <v>37</v>
      </c>
      <c r="D170" s="1">
        <v>44622</v>
      </c>
      <c r="E170" s="1" t="str">
        <f>TEXT(Sales[[#This Row],[Date]],"mmm")</f>
        <v>Mar</v>
      </c>
      <c r="F170" s="1" t="str">
        <f t="shared" si="4"/>
        <v>2022</v>
      </c>
      <c r="G170" s="1" t="str">
        <f t="shared" si="5"/>
        <v>Wed</v>
      </c>
      <c r="H170" s="7">
        <v>5446</v>
      </c>
      <c r="I170" s="6">
        <v>116</v>
      </c>
    </row>
    <row r="171" spans="1:9" x14ac:dyDescent="0.25">
      <c r="A171" t="s">
        <v>55</v>
      </c>
      <c r="B171" t="s">
        <v>15</v>
      </c>
      <c r="C171" t="s">
        <v>44</v>
      </c>
      <c r="D171" s="1">
        <v>44622</v>
      </c>
      <c r="E171" s="1" t="str">
        <f>TEXT(Sales[[#This Row],[Date]],"mmm")</f>
        <v>Mar</v>
      </c>
      <c r="F171" s="1" t="str">
        <f t="shared" si="4"/>
        <v>2022</v>
      </c>
      <c r="G171" s="1" t="str">
        <f t="shared" si="5"/>
        <v>Wed</v>
      </c>
      <c r="H171" s="7">
        <v>1043</v>
      </c>
      <c r="I171" s="6">
        <v>202</v>
      </c>
    </row>
    <row r="172" spans="1:9" x14ac:dyDescent="0.25">
      <c r="A172" t="s">
        <v>9</v>
      </c>
      <c r="B172" t="s">
        <v>26</v>
      </c>
      <c r="C172" t="s">
        <v>18</v>
      </c>
      <c r="D172" s="1">
        <v>44770</v>
      </c>
      <c r="E172" s="1" t="str">
        <f>TEXT(Sales[[#This Row],[Date]],"mmm")</f>
        <v>Jul</v>
      </c>
      <c r="F172" s="1" t="str">
        <f t="shared" si="4"/>
        <v>2022</v>
      </c>
      <c r="G172" s="1" t="str">
        <f t="shared" si="5"/>
        <v>Thu</v>
      </c>
      <c r="H172" s="7">
        <v>12586</v>
      </c>
      <c r="I172" s="6">
        <v>6</v>
      </c>
    </row>
    <row r="173" spans="1:9" x14ac:dyDescent="0.25">
      <c r="A173" t="s">
        <v>49</v>
      </c>
      <c r="B173" t="s">
        <v>10</v>
      </c>
      <c r="C173" t="s">
        <v>20</v>
      </c>
      <c r="D173" s="1">
        <v>44568</v>
      </c>
      <c r="E173" s="1" t="str">
        <f>TEXT(Sales[[#This Row],[Date]],"mmm")</f>
        <v>Jan</v>
      </c>
      <c r="F173" s="1" t="str">
        <f t="shared" si="4"/>
        <v>2022</v>
      </c>
      <c r="G173" s="1" t="str">
        <f t="shared" si="5"/>
        <v>Fri</v>
      </c>
      <c r="H173" s="7">
        <v>1687</v>
      </c>
      <c r="I173" s="6">
        <v>520</v>
      </c>
    </row>
    <row r="174" spans="1:9" x14ac:dyDescent="0.25">
      <c r="A174" t="s">
        <v>23</v>
      </c>
      <c r="B174" t="s">
        <v>7</v>
      </c>
      <c r="C174" t="s">
        <v>44</v>
      </c>
      <c r="D174" s="1">
        <v>44663</v>
      </c>
      <c r="E174" s="1" t="str">
        <f>TEXT(Sales[[#This Row],[Date]],"mmm")</f>
        <v>Apr</v>
      </c>
      <c r="F174" s="1" t="str">
        <f t="shared" si="4"/>
        <v>2022</v>
      </c>
      <c r="G174" s="1" t="str">
        <f t="shared" si="5"/>
        <v>Tue</v>
      </c>
      <c r="H174" s="7">
        <v>5299</v>
      </c>
      <c r="I174" s="6">
        <v>167</v>
      </c>
    </row>
    <row r="175" spans="1:9" x14ac:dyDescent="0.25">
      <c r="A175" t="s">
        <v>9</v>
      </c>
      <c r="B175" t="s">
        <v>29</v>
      </c>
      <c r="C175" t="s">
        <v>47</v>
      </c>
      <c r="D175" s="1">
        <v>44739</v>
      </c>
      <c r="E175" s="1" t="str">
        <f>TEXT(Sales[[#This Row],[Date]],"mmm")</f>
        <v>Jun</v>
      </c>
      <c r="F175" s="1" t="str">
        <f t="shared" si="4"/>
        <v>2022</v>
      </c>
      <c r="G175" s="1" t="str">
        <f t="shared" si="5"/>
        <v>Mon</v>
      </c>
      <c r="H175" s="7">
        <v>3213</v>
      </c>
      <c r="I175" s="6">
        <v>72</v>
      </c>
    </row>
    <row r="176" spans="1:9" x14ac:dyDescent="0.25">
      <c r="A176" t="s">
        <v>6</v>
      </c>
      <c r="B176" t="s">
        <v>15</v>
      </c>
      <c r="C176" t="s">
        <v>22</v>
      </c>
      <c r="D176" s="1">
        <v>44575</v>
      </c>
      <c r="E176" s="1" t="str">
        <f>TEXT(Sales[[#This Row],[Date]],"mmm")</f>
        <v>Jan</v>
      </c>
      <c r="F176" s="1" t="str">
        <f t="shared" si="4"/>
        <v>2022</v>
      </c>
      <c r="G176" s="1" t="str">
        <f t="shared" si="5"/>
        <v>Fri</v>
      </c>
      <c r="H176" s="7">
        <v>5194</v>
      </c>
      <c r="I176" s="6">
        <v>418</v>
      </c>
    </row>
    <row r="177" spans="1:9" x14ac:dyDescent="0.25">
      <c r="A177" t="s">
        <v>31</v>
      </c>
      <c r="B177" t="s">
        <v>7</v>
      </c>
      <c r="C177" t="s">
        <v>56</v>
      </c>
      <c r="D177" s="1">
        <v>44599</v>
      </c>
      <c r="E177" s="1" t="str">
        <f>TEXT(Sales[[#This Row],[Date]],"mmm")</f>
        <v>Feb</v>
      </c>
      <c r="F177" s="1" t="str">
        <f t="shared" si="4"/>
        <v>2022</v>
      </c>
      <c r="G177" s="1" t="str">
        <f t="shared" si="5"/>
        <v>Mon</v>
      </c>
      <c r="H177" s="7">
        <v>4753</v>
      </c>
      <c r="I177" s="6">
        <v>389</v>
      </c>
    </row>
    <row r="178" spans="1:9" x14ac:dyDescent="0.25">
      <c r="A178" t="s">
        <v>6</v>
      </c>
      <c r="B178" t="s">
        <v>15</v>
      </c>
      <c r="C178" t="s">
        <v>27</v>
      </c>
      <c r="D178" s="1">
        <v>44643</v>
      </c>
      <c r="E178" s="1" t="str">
        <f>TEXT(Sales[[#This Row],[Date]],"mmm")</f>
        <v>Mar</v>
      </c>
      <c r="F178" s="1" t="str">
        <f t="shared" si="4"/>
        <v>2022</v>
      </c>
      <c r="G178" s="1" t="str">
        <f t="shared" si="5"/>
        <v>Wed</v>
      </c>
      <c r="H178" s="7">
        <v>13706</v>
      </c>
      <c r="I178" s="6">
        <v>26</v>
      </c>
    </row>
    <row r="179" spans="1:9" x14ac:dyDescent="0.25">
      <c r="A179" t="s">
        <v>33</v>
      </c>
      <c r="B179" t="s">
        <v>10</v>
      </c>
      <c r="C179" t="s">
        <v>13</v>
      </c>
      <c r="D179" s="1">
        <v>44571</v>
      </c>
      <c r="E179" s="1" t="str">
        <f>TEXT(Sales[[#This Row],[Date]],"mmm")</f>
        <v>Jan</v>
      </c>
      <c r="F179" s="1" t="str">
        <f t="shared" si="4"/>
        <v>2022</v>
      </c>
      <c r="G179" s="1" t="str">
        <f t="shared" si="5"/>
        <v>Mon</v>
      </c>
      <c r="H179" s="7">
        <v>6489</v>
      </c>
      <c r="I179" s="6">
        <v>146</v>
      </c>
    </row>
    <row r="180" spans="1:9" x14ac:dyDescent="0.25">
      <c r="A180" t="s">
        <v>17</v>
      </c>
      <c r="B180" t="s">
        <v>7</v>
      </c>
      <c r="C180" t="s">
        <v>52</v>
      </c>
      <c r="D180" s="1">
        <v>44637</v>
      </c>
      <c r="E180" s="1" t="str">
        <f>TEXT(Sales[[#This Row],[Date]],"mmm")</f>
        <v>Mar</v>
      </c>
      <c r="F180" s="1" t="str">
        <f t="shared" si="4"/>
        <v>2022</v>
      </c>
      <c r="G180" s="1" t="str">
        <f t="shared" si="5"/>
        <v>Thu</v>
      </c>
      <c r="H180" s="7">
        <v>9324</v>
      </c>
      <c r="I180" s="6">
        <v>41</v>
      </c>
    </row>
    <row r="181" spans="1:9" x14ac:dyDescent="0.25">
      <c r="A181" t="s">
        <v>12</v>
      </c>
      <c r="B181" t="s">
        <v>26</v>
      </c>
      <c r="C181" t="s">
        <v>39</v>
      </c>
      <c r="D181" s="1">
        <v>44582</v>
      </c>
      <c r="E181" s="1" t="str">
        <f>TEXT(Sales[[#This Row],[Date]],"mmm")</f>
        <v>Jan</v>
      </c>
      <c r="F181" s="1" t="str">
        <f t="shared" si="4"/>
        <v>2022</v>
      </c>
      <c r="G181" s="1" t="str">
        <f t="shared" si="5"/>
        <v>Fri</v>
      </c>
      <c r="H181" s="7">
        <v>10829</v>
      </c>
      <c r="I181" s="6">
        <v>54</v>
      </c>
    </row>
    <row r="182" spans="1:9" x14ac:dyDescent="0.25">
      <c r="A182" t="s">
        <v>25</v>
      </c>
      <c r="B182" t="s">
        <v>15</v>
      </c>
      <c r="C182" t="s">
        <v>44</v>
      </c>
      <c r="D182" s="1">
        <v>44746</v>
      </c>
      <c r="E182" s="1" t="str">
        <f>TEXT(Sales[[#This Row],[Date]],"mmm")</f>
        <v>Jul</v>
      </c>
      <c r="F182" s="1" t="str">
        <f t="shared" si="4"/>
        <v>2022</v>
      </c>
      <c r="G182" s="1" t="str">
        <f t="shared" si="5"/>
        <v>Mon</v>
      </c>
      <c r="H182" s="7">
        <v>8113</v>
      </c>
      <c r="I182" s="6">
        <v>370</v>
      </c>
    </row>
    <row r="183" spans="1:9" x14ac:dyDescent="0.25">
      <c r="A183" t="s">
        <v>41</v>
      </c>
      <c r="B183" t="s">
        <v>29</v>
      </c>
      <c r="C183" t="s">
        <v>13</v>
      </c>
      <c r="D183" s="1">
        <v>44746</v>
      </c>
      <c r="E183" s="1" t="str">
        <f>TEXT(Sales[[#This Row],[Date]],"mmm")</f>
        <v>Jul</v>
      </c>
      <c r="F183" s="1" t="str">
        <f t="shared" si="4"/>
        <v>2022</v>
      </c>
      <c r="G183" s="1" t="str">
        <f t="shared" si="5"/>
        <v>Mon</v>
      </c>
      <c r="H183" s="7">
        <v>3269</v>
      </c>
      <c r="I183" s="6">
        <v>176</v>
      </c>
    </row>
    <row r="184" spans="1:9" x14ac:dyDescent="0.25">
      <c r="A184" t="s">
        <v>54</v>
      </c>
      <c r="B184" t="s">
        <v>26</v>
      </c>
      <c r="C184" t="s">
        <v>45</v>
      </c>
      <c r="D184" s="1">
        <v>44783</v>
      </c>
      <c r="E184" s="1" t="str">
        <f>TEXT(Sales[[#This Row],[Date]],"mmm")</f>
        <v>Aug</v>
      </c>
      <c r="F184" s="1" t="str">
        <f t="shared" si="4"/>
        <v>2022</v>
      </c>
      <c r="G184" s="1" t="str">
        <f t="shared" si="5"/>
        <v>Wed</v>
      </c>
      <c r="H184" s="7">
        <v>273</v>
      </c>
      <c r="I184" s="6">
        <v>210</v>
      </c>
    </row>
    <row r="185" spans="1:9" x14ac:dyDescent="0.25">
      <c r="A185" t="s">
        <v>43</v>
      </c>
      <c r="B185" t="s">
        <v>15</v>
      </c>
      <c r="C185" t="s">
        <v>22</v>
      </c>
      <c r="D185" s="1">
        <v>44652</v>
      </c>
      <c r="E185" s="1" t="str">
        <f>TEXT(Sales[[#This Row],[Date]],"mmm")</f>
        <v>Apr</v>
      </c>
      <c r="F185" s="1" t="str">
        <f t="shared" si="4"/>
        <v>2022</v>
      </c>
      <c r="G185" s="1" t="str">
        <f t="shared" si="5"/>
        <v>Fri</v>
      </c>
      <c r="H185" s="7">
        <v>7287</v>
      </c>
      <c r="I185" s="6">
        <v>12</v>
      </c>
    </row>
    <row r="186" spans="1:9" x14ac:dyDescent="0.25">
      <c r="A186" t="s">
        <v>12</v>
      </c>
      <c r="B186" t="s">
        <v>10</v>
      </c>
      <c r="C186" t="s">
        <v>51</v>
      </c>
      <c r="D186" s="1">
        <v>44614</v>
      </c>
      <c r="E186" s="1" t="str">
        <f>TEXT(Sales[[#This Row],[Date]],"mmm")</f>
        <v>Feb</v>
      </c>
      <c r="F186" s="1" t="str">
        <f t="shared" si="4"/>
        <v>2022</v>
      </c>
      <c r="G186" s="1" t="str">
        <f t="shared" si="5"/>
        <v>Tue</v>
      </c>
      <c r="H186" s="7">
        <v>2583</v>
      </c>
      <c r="I186" s="6">
        <v>159</v>
      </c>
    </row>
    <row r="187" spans="1:9" x14ac:dyDescent="0.25">
      <c r="A187" t="s">
        <v>50</v>
      </c>
      <c r="B187" t="s">
        <v>7</v>
      </c>
      <c r="C187" t="s">
        <v>44</v>
      </c>
      <c r="D187" s="1">
        <v>44564</v>
      </c>
      <c r="E187" s="1" t="str">
        <f>TEXT(Sales[[#This Row],[Date]],"mmm")</f>
        <v>Jan</v>
      </c>
      <c r="F187" s="1" t="str">
        <f t="shared" si="4"/>
        <v>2022</v>
      </c>
      <c r="G187" s="1" t="str">
        <f t="shared" si="5"/>
        <v>Mon</v>
      </c>
      <c r="H187" s="7">
        <v>9982</v>
      </c>
      <c r="I187" s="6">
        <v>187</v>
      </c>
    </row>
    <row r="188" spans="1:9" x14ac:dyDescent="0.25">
      <c r="A188" t="s">
        <v>31</v>
      </c>
      <c r="B188" t="s">
        <v>10</v>
      </c>
      <c r="C188" t="s">
        <v>32</v>
      </c>
      <c r="D188" s="1">
        <v>44712</v>
      </c>
      <c r="E188" s="1" t="str">
        <f>TEXT(Sales[[#This Row],[Date]],"mmm")</f>
        <v>May</v>
      </c>
      <c r="F188" s="1" t="str">
        <f t="shared" si="4"/>
        <v>2022</v>
      </c>
      <c r="G188" s="1" t="str">
        <f t="shared" si="5"/>
        <v>Tue</v>
      </c>
      <c r="H188" s="7">
        <v>4795</v>
      </c>
      <c r="I188" s="6">
        <v>233</v>
      </c>
    </row>
    <row r="189" spans="1:9" x14ac:dyDescent="0.25">
      <c r="A189" t="s">
        <v>54</v>
      </c>
      <c r="B189" t="s">
        <v>7</v>
      </c>
      <c r="C189" t="s">
        <v>18</v>
      </c>
      <c r="D189" s="1">
        <v>44564</v>
      </c>
      <c r="E189" s="1" t="str">
        <f>TEXT(Sales[[#This Row],[Date]],"mmm")</f>
        <v>Jan</v>
      </c>
      <c r="F189" s="1" t="str">
        <f t="shared" si="4"/>
        <v>2022</v>
      </c>
      <c r="G189" s="1" t="str">
        <f t="shared" si="5"/>
        <v>Mon</v>
      </c>
      <c r="H189" s="7">
        <v>9310</v>
      </c>
      <c r="I189" s="6">
        <v>282</v>
      </c>
    </row>
    <row r="190" spans="1:9" x14ac:dyDescent="0.25">
      <c r="A190" t="s">
        <v>40</v>
      </c>
      <c r="B190" t="s">
        <v>21</v>
      </c>
      <c r="C190" t="s">
        <v>57</v>
      </c>
      <c r="D190" s="1">
        <v>44588</v>
      </c>
      <c r="E190" s="1" t="str">
        <f>TEXT(Sales[[#This Row],[Date]],"mmm")</f>
        <v>Jan</v>
      </c>
      <c r="F190" s="1" t="str">
        <f t="shared" si="4"/>
        <v>2022</v>
      </c>
      <c r="G190" s="1" t="str">
        <f t="shared" si="5"/>
        <v>Thu</v>
      </c>
      <c r="H190" s="7">
        <v>497</v>
      </c>
      <c r="I190" s="6">
        <v>475</v>
      </c>
    </row>
    <row r="191" spans="1:9" x14ac:dyDescent="0.25">
      <c r="A191" t="s">
        <v>25</v>
      </c>
      <c r="B191" t="s">
        <v>7</v>
      </c>
      <c r="C191" t="s">
        <v>22</v>
      </c>
      <c r="D191" s="1">
        <v>44589</v>
      </c>
      <c r="E191" s="1" t="str">
        <f>TEXT(Sales[[#This Row],[Date]],"mmm")</f>
        <v>Jan</v>
      </c>
      <c r="F191" s="1" t="str">
        <f t="shared" si="4"/>
        <v>2022</v>
      </c>
      <c r="G191" s="1" t="str">
        <f t="shared" si="5"/>
        <v>Fri</v>
      </c>
      <c r="H191" s="7">
        <v>581</v>
      </c>
      <c r="I191" s="6">
        <v>65</v>
      </c>
    </row>
    <row r="192" spans="1:9" x14ac:dyDescent="0.25">
      <c r="A192" t="s">
        <v>38</v>
      </c>
      <c r="B192" t="s">
        <v>15</v>
      </c>
      <c r="C192" t="s">
        <v>35</v>
      </c>
      <c r="D192" s="1">
        <v>44740</v>
      </c>
      <c r="E192" s="1" t="str">
        <f>TEXT(Sales[[#This Row],[Date]],"mmm")</f>
        <v>Jun</v>
      </c>
      <c r="F192" s="1" t="str">
        <f t="shared" si="4"/>
        <v>2022</v>
      </c>
      <c r="G192" s="1" t="str">
        <f t="shared" si="5"/>
        <v>Tue</v>
      </c>
      <c r="H192" s="7">
        <v>3472</v>
      </c>
      <c r="I192" s="6">
        <v>311</v>
      </c>
    </row>
    <row r="193" spans="1:9" x14ac:dyDescent="0.25">
      <c r="A193" t="s">
        <v>40</v>
      </c>
      <c r="B193" t="s">
        <v>7</v>
      </c>
      <c r="C193" t="s">
        <v>52</v>
      </c>
      <c r="D193" s="1">
        <v>44622</v>
      </c>
      <c r="E193" s="1" t="str">
        <f>TEXT(Sales[[#This Row],[Date]],"mmm")</f>
        <v>Mar</v>
      </c>
      <c r="F193" s="1" t="str">
        <f t="shared" si="4"/>
        <v>2022</v>
      </c>
      <c r="G193" s="1" t="str">
        <f t="shared" si="5"/>
        <v>Wed</v>
      </c>
      <c r="H193" s="7">
        <v>4333</v>
      </c>
      <c r="I193" s="6">
        <v>43</v>
      </c>
    </row>
    <row r="194" spans="1:9" x14ac:dyDescent="0.25">
      <c r="A194" t="s">
        <v>46</v>
      </c>
      <c r="B194" t="s">
        <v>15</v>
      </c>
      <c r="C194" t="s">
        <v>20</v>
      </c>
      <c r="D194" s="1">
        <v>44708</v>
      </c>
      <c r="E194" s="1" t="str">
        <f>TEXT(Sales[[#This Row],[Date]],"mmm")</f>
        <v>May</v>
      </c>
      <c r="F194" s="1" t="str">
        <f t="shared" ref="F194:F257" si="6">TEXT(D:D,"yyyy")</f>
        <v>2022</v>
      </c>
      <c r="G194" s="1" t="str">
        <f t="shared" ref="G194:G257" si="7">TEXT(D:D,"ddd")</f>
        <v>Fri</v>
      </c>
      <c r="H194" s="7">
        <v>3325</v>
      </c>
      <c r="I194" s="6">
        <v>26</v>
      </c>
    </row>
    <row r="195" spans="1:9" x14ac:dyDescent="0.25">
      <c r="A195" t="s">
        <v>43</v>
      </c>
      <c r="B195" t="s">
        <v>26</v>
      </c>
      <c r="C195" t="s">
        <v>47</v>
      </c>
      <c r="D195" s="1">
        <v>44742</v>
      </c>
      <c r="E195" s="1" t="str">
        <f>TEXT(Sales[[#This Row],[Date]],"mmm")</f>
        <v>Jun</v>
      </c>
      <c r="F195" s="1" t="str">
        <f t="shared" si="6"/>
        <v>2022</v>
      </c>
      <c r="G195" s="1" t="str">
        <f t="shared" si="7"/>
        <v>Thu</v>
      </c>
      <c r="H195" s="7">
        <v>11718</v>
      </c>
      <c r="I195" s="6">
        <v>84</v>
      </c>
    </row>
    <row r="196" spans="1:9" x14ac:dyDescent="0.25">
      <c r="A196" t="s">
        <v>25</v>
      </c>
      <c r="B196" t="s">
        <v>29</v>
      </c>
      <c r="C196" t="s">
        <v>13</v>
      </c>
      <c r="D196" s="1">
        <v>44719</v>
      </c>
      <c r="E196" s="1" t="str">
        <f>TEXT(Sales[[#This Row],[Date]],"mmm")</f>
        <v>Jun</v>
      </c>
      <c r="F196" s="1" t="str">
        <f t="shared" si="6"/>
        <v>2022</v>
      </c>
      <c r="G196" s="1" t="str">
        <f t="shared" si="7"/>
        <v>Tue</v>
      </c>
      <c r="H196" s="7">
        <v>2100</v>
      </c>
      <c r="I196" s="6">
        <v>78</v>
      </c>
    </row>
    <row r="197" spans="1:9" x14ac:dyDescent="0.25">
      <c r="A197" t="s">
        <v>41</v>
      </c>
      <c r="B197" t="s">
        <v>26</v>
      </c>
      <c r="C197" t="s">
        <v>58</v>
      </c>
      <c r="D197" s="1">
        <v>44693</v>
      </c>
      <c r="E197" s="1" t="str">
        <f>TEXT(Sales[[#This Row],[Date]],"mmm")</f>
        <v>May</v>
      </c>
      <c r="F197" s="1" t="str">
        <f t="shared" si="6"/>
        <v>2022</v>
      </c>
      <c r="G197" s="1" t="str">
        <f t="shared" si="7"/>
        <v>Thu</v>
      </c>
      <c r="H197" s="7">
        <v>4018</v>
      </c>
      <c r="I197" s="6">
        <v>100</v>
      </c>
    </row>
    <row r="198" spans="1:9" x14ac:dyDescent="0.25">
      <c r="A198" t="s">
        <v>25</v>
      </c>
      <c r="B198" t="s">
        <v>21</v>
      </c>
      <c r="C198" t="s">
        <v>51</v>
      </c>
      <c r="D198" s="1">
        <v>44771</v>
      </c>
      <c r="E198" s="1" t="str">
        <f>TEXT(Sales[[#This Row],[Date]],"mmm")</f>
        <v>Jul</v>
      </c>
      <c r="F198" s="1" t="str">
        <f t="shared" si="6"/>
        <v>2022</v>
      </c>
      <c r="G198" s="1" t="str">
        <f t="shared" si="7"/>
        <v>Fri</v>
      </c>
      <c r="H198" s="7">
        <v>6468</v>
      </c>
      <c r="I198" s="6">
        <v>66</v>
      </c>
    </row>
    <row r="199" spans="1:9" x14ac:dyDescent="0.25">
      <c r="A199" t="s">
        <v>43</v>
      </c>
      <c r="B199" t="s">
        <v>7</v>
      </c>
      <c r="C199" t="s">
        <v>44</v>
      </c>
      <c r="D199" s="1">
        <v>44776</v>
      </c>
      <c r="E199" s="1" t="str">
        <f>TEXT(Sales[[#This Row],[Date]],"mmm")</f>
        <v>Aug</v>
      </c>
      <c r="F199" s="1" t="str">
        <f t="shared" si="6"/>
        <v>2022</v>
      </c>
      <c r="G199" s="1" t="str">
        <f t="shared" si="7"/>
        <v>Wed</v>
      </c>
      <c r="H199" s="7">
        <v>7238</v>
      </c>
      <c r="I199" s="6">
        <v>265</v>
      </c>
    </row>
    <row r="200" spans="1:9" x14ac:dyDescent="0.25">
      <c r="A200" t="s">
        <v>25</v>
      </c>
      <c r="B200" t="s">
        <v>10</v>
      </c>
      <c r="C200" t="s">
        <v>56</v>
      </c>
      <c r="D200" s="1">
        <v>44791</v>
      </c>
      <c r="E200" s="1" t="str">
        <f>TEXT(Sales[[#This Row],[Date]],"mmm")</f>
        <v>Aug</v>
      </c>
      <c r="F200" s="1" t="str">
        <f t="shared" si="6"/>
        <v>2022</v>
      </c>
      <c r="G200" s="1" t="str">
        <f t="shared" si="7"/>
        <v>Thu</v>
      </c>
      <c r="H200" s="7">
        <v>6454</v>
      </c>
      <c r="I200" s="6">
        <v>141</v>
      </c>
    </row>
    <row r="201" spans="1:9" x14ac:dyDescent="0.25">
      <c r="A201" t="s">
        <v>9</v>
      </c>
      <c r="B201" t="s">
        <v>21</v>
      </c>
      <c r="C201" t="s">
        <v>16</v>
      </c>
      <c r="D201" s="1">
        <v>44726</v>
      </c>
      <c r="E201" s="1" t="str">
        <f>TEXT(Sales[[#This Row],[Date]],"mmm")</f>
        <v>Jun</v>
      </c>
      <c r="F201" s="1" t="str">
        <f t="shared" si="6"/>
        <v>2022</v>
      </c>
      <c r="G201" s="1" t="str">
        <f t="shared" si="7"/>
        <v>Tue</v>
      </c>
      <c r="H201" s="7">
        <v>3115</v>
      </c>
      <c r="I201" s="6">
        <v>42</v>
      </c>
    </row>
    <row r="202" spans="1:9" x14ac:dyDescent="0.25">
      <c r="A202" t="s">
        <v>34</v>
      </c>
      <c r="B202" t="s">
        <v>7</v>
      </c>
      <c r="C202" t="s">
        <v>44</v>
      </c>
      <c r="D202" s="1">
        <v>44742</v>
      </c>
      <c r="E202" s="1" t="str">
        <f>TEXT(Sales[[#This Row],[Date]],"mmm")</f>
        <v>Jun</v>
      </c>
      <c r="F202" s="1" t="str">
        <f t="shared" si="6"/>
        <v>2022</v>
      </c>
      <c r="G202" s="1" t="str">
        <f t="shared" si="7"/>
        <v>Thu</v>
      </c>
      <c r="H202" s="7">
        <v>6475</v>
      </c>
      <c r="I202" s="6">
        <v>76</v>
      </c>
    </row>
    <row r="203" spans="1:9" x14ac:dyDescent="0.25">
      <c r="A203" t="s">
        <v>50</v>
      </c>
      <c r="B203" t="s">
        <v>21</v>
      </c>
      <c r="C203" t="s">
        <v>8</v>
      </c>
      <c r="D203" s="1">
        <v>44725</v>
      </c>
      <c r="E203" s="1" t="str">
        <f>TEXT(Sales[[#This Row],[Date]],"mmm")</f>
        <v>Jun</v>
      </c>
      <c r="F203" s="1" t="str">
        <f t="shared" si="6"/>
        <v>2022</v>
      </c>
      <c r="G203" s="1" t="str">
        <f t="shared" si="7"/>
        <v>Mon</v>
      </c>
      <c r="H203" s="7">
        <v>1162</v>
      </c>
      <c r="I203" s="6">
        <v>190</v>
      </c>
    </row>
    <row r="204" spans="1:9" x14ac:dyDescent="0.25">
      <c r="A204" t="s">
        <v>55</v>
      </c>
      <c r="B204" t="s">
        <v>7</v>
      </c>
      <c r="C204" t="s">
        <v>27</v>
      </c>
      <c r="D204" s="1">
        <v>44678</v>
      </c>
      <c r="E204" s="1" t="str">
        <f>TEXT(Sales[[#This Row],[Date]],"mmm")</f>
        <v>Apr</v>
      </c>
      <c r="F204" s="1" t="str">
        <f t="shared" si="6"/>
        <v>2022</v>
      </c>
      <c r="G204" s="1" t="str">
        <f t="shared" si="7"/>
        <v>Wed</v>
      </c>
      <c r="H204" s="7">
        <v>14238</v>
      </c>
      <c r="I204" s="6">
        <v>54</v>
      </c>
    </row>
    <row r="205" spans="1:9" x14ac:dyDescent="0.25">
      <c r="A205" t="s">
        <v>14</v>
      </c>
      <c r="B205" t="s">
        <v>15</v>
      </c>
      <c r="C205" t="s">
        <v>44</v>
      </c>
      <c r="D205" s="1">
        <v>44769</v>
      </c>
      <c r="E205" s="1" t="str">
        <f>TEXT(Sales[[#This Row],[Date]],"mmm")</f>
        <v>Jul</v>
      </c>
      <c r="F205" s="1" t="str">
        <f t="shared" si="6"/>
        <v>2022</v>
      </c>
      <c r="G205" s="1" t="str">
        <f t="shared" si="7"/>
        <v>Wed</v>
      </c>
      <c r="H205" s="7">
        <v>3472</v>
      </c>
      <c r="I205" s="6">
        <v>32</v>
      </c>
    </row>
    <row r="206" spans="1:9" x14ac:dyDescent="0.25">
      <c r="A206" t="s">
        <v>28</v>
      </c>
      <c r="B206" t="s">
        <v>29</v>
      </c>
      <c r="C206" t="s">
        <v>11</v>
      </c>
      <c r="D206" s="1">
        <v>44671</v>
      </c>
      <c r="E206" s="1" t="str">
        <f>TEXT(Sales[[#This Row],[Date]],"mmm")</f>
        <v>Apr</v>
      </c>
      <c r="F206" s="1" t="str">
        <f t="shared" si="6"/>
        <v>2022</v>
      </c>
      <c r="G206" s="1" t="str">
        <f t="shared" si="7"/>
        <v>Wed</v>
      </c>
      <c r="H206" s="7">
        <v>1428</v>
      </c>
      <c r="I206" s="6">
        <v>424</v>
      </c>
    </row>
    <row r="207" spans="1:9" x14ac:dyDescent="0.25">
      <c r="A207" t="s">
        <v>24</v>
      </c>
      <c r="B207" t="s">
        <v>10</v>
      </c>
      <c r="C207" t="s">
        <v>39</v>
      </c>
      <c r="D207" s="1">
        <v>44565</v>
      </c>
      <c r="E207" s="1" t="str">
        <f>TEXT(Sales[[#This Row],[Date]],"mmm")</f>
        <v>Jan</v>
      </c>
      <c r="F207" s="1" t="str">
        <f t="shared" si="6"/>
        <v>2022</v>
      </c>
      <c r="G207" s="1" t="str">
        <f t="shared" si="7"/>
        <v>Tue</v>
      </c>
      <c r="H207" s="7">
        <v>8064</v>
      </c>
      <c r="I207" s="6">
        <v>134</v>
      </c>
    </row>
    <row r="208" spans="1:9" x14ac:dyDescent="0.25">
      <c r="A208" t="s">
        <v>55</v>
      </c>
      <c r="B208" t="s">
        <v>15</v>
      </c>
      <c r="C208" t="s">
        <v>8</v>
      </c>
      <c r="D208" s="1">
        <v>44613</v>
      </c>
      <c r="E208" s="1" t="str">
        <f>TEXT(Sales[[#This Row],[Date]],"mmm")</f>
        <v>Feb</v>
      </c>
      <c r="F208" s="1" t="str">
        <f t="shared" si="6"/>
        <v>2022</v>
      </c>
      <c r="G208" s="1" t="str">
        <f t="shared" si="7"/>
        <v>Mon</v>
      </c>
      <c r="H208" s="7">
        <v>9660</v>
      </c>
      <c r="I208" s="6">
        <v>92</v>
      </c>
    </row>
    <row r="209" spans="1:9" x14ac:dyDescent="0.25">
      <c r="A209" t="s">
        <v>31</v>
      </c>
      <c r="B209" t="s">
        <v>15</v>
      </c>
      <c r="C209" t="s">
        <v>44</v>
      </c>
      <c r="D209" s="1">
        <v>44566</v>
      </c>
      <c r="E209" s="1" t="str">
        <f>TEXT(Sales[[#This Row],[Date]],"mmm")</f>
        <v>Jan</v>
      </c>
      <c r="F209" s="1" t="str">
        <f t="shared" si="6"/>
        <v>2022</v>
      </c>
      <c r="G209" s="1" t="str">
        <f t="shared" si="7"/>
        <v>Wed</v>
      </c>
      <c r="H209" s="7">
        <v>7357</v>
      </c>
      <c r="I209" s="6">
        <v>48</v>
      </c>
    </row>
    <row r="210" spans="1:9" x14ac:dyDescent="0.25">
      <c r="A210" t="s">
        <v>34</v>
      </c>
      <c r="B210" t="s">
        <v>10</v>
      </c>
      <c r="C210" t="s">
        <v>32</v>
      </c>
      <c r="D210" s="1">
        <v>44757</v>
      </c>
      <c r="E210" s="1" t="str">
        <f>TEXT(Sales[[#This Row],[Date]],"mmm")</f>
        <v>Jul</v>
      </c>
      <c r="F210" s="1" t="str">
        <f t="shared" si="6"/>
        <v>2022</v>
      </c>
      <c r="G210" s="1" t="str">
        <f t="shared" si="7"/>
        <v>Fri</v>
      </c>
      <c r="H210" s="7">
        <v>6055</v>
      </c>
      <c r="I210" s="6">
        <v>46</v>
      </c>
    </row>
    <row r="211" spans="1:9" x14ac:dyDescent="0.25">
      <c r="A211" t="s">
        <v>23</v>
      </c>
      <c r="B211" t="s">
        <v>15</v>
      </c>
      <c r="C211" t="s">
        <v>52</v>
      </c>
      <c r="D211" s="1">
        <v>44706</v>
      </c>
      <c r="E211" s="1" t="str">
        <f>TEXT(Sales[[#This Row],[Date]],"mmm")</f>
        <v>May</v>
      </c>
      <c r="F211" s="1" t="str">
        <f t="shared" si="6"/>
        <v>2022</v>
      </c>
      <c r="G211" s="1" t="str">
        <f t="shared" si="7"/>
        <v>Wed</v>
      </c>
      <c r="H211" s="7">
        <v>5124</v>
      </c>
      <c r="I211" s="6">
        <v>62</v>
      </c>
    </row>
    <row r="212" spans="1:9" x14ac:dyDescent="0.25">
      <c r="A212" t="s">
        <v>31</v>
      </c>
      <c r="B212" t="s">
        <v>29</v>
      </c>
      <c r="C212" t="s">
        <v>30</v>
      </c>
      <c r="D212" s="1">
        <v>44671</v>
      </c>
      <c r="E212" s="1" t="str">
        <f>TEXT(Sales[[#This Row],[Date]],"mmm")</f>
        <v>Apr</v>
      </c>
      <c r="F212" s="1" t="str">
        <f t="shared" si="6"/>
        <v>2022</v>
      </c>
      <c r="G212" s="1" t="str">
        <f t="shared" si="7"/>
        <v>Wed</v>
      </c>
      <c r="H212" s="7">
        <v>3479</v>
      </c>
      <c r="I212" s="6">
        <v>358</v>
      </c>
    </row>
    <row r="213" spans="1:9" x14ac:dyDescent="0.25">
      <c r="A213" t="s">
        <v>12</v>
      </c>
      <c r="B213" t="s">
        <v>26</v>
      </c>
      <c r="C213" t="s">
        <v>18</v>
      </c>
      <c r="D213" s="1">
        <v>44714</v>
      </c>
      <c r="E213" s="1" t="str">
        <f>TEXT(Sales[[#This Row],[Date]],"mmm")</f>
        <v>Jun</v>
      </c>
      <c r="F213" s="1" t="str">
        <f t="shared" si="6"/>
        <v>2022</v>
      </c>
      <c r="G213" s="1" t="str">
        <f t="shared" si="7"/>
        <v>Thu</v>
      </c>
      <c r="H213" s="7">
        <v>784</v>
      </c>
      <c r="I213" s="6">
        <v>249</v>
      </c>
    </row>
    <row r="214" spans="1:9" x14ac:dyDescent="0.25">
      <c r="A214" t="s">
        <v>33</v>
      </c>
      <c r="B214" t="s">
        <v>7</v>
      </c>
      <c r="C214" t="s">
        <v>16</v>
      </c>
      <c r="D214" s="1">
        <v>44694</v>
      </c>
      <c r="E214" s="1" t="str">
        <f>TEXT(Sales[[#This Row],[Date]],"mmm")</f>
        <v>May</v>
      </c>
      <c r="F214" s="1" t="str">
        <f t="shared" si="6"/>
        <v>2022</v>
      </c>
      <c r="G214" s="1" t="str">
        <f t="shared" si="7"/>
        <v>Fri</v>
      </c>
      <c r="H214" s="7">
        <v>18991</v>
      </c>
      <c r="I214" s="6">
        <v>88</v>
      </c>
    </row>
    <row r="215" spans="1:9" x14ac:dyDescent="0.25">
      <c r="A215" t="s">
        <v>34</v>
      </c>
      <c r="B215" t="s">
        <v>21</v>
      </c>
      <c r="C215" t="s">
        <v>56</v>
      </c>
      <c r="D215" s="1">
        <v>44776</v>
      </c>
      <c r="E215" s="1" t="str">
        <f>TEXT(Sales[[#This Row],[Date]],"mmm")</f>
        <v>Aug</v>
      </c>
      <c r="F215" s="1" t="str">
        <f t="shared" si="6"/>
        <v>2022</v>
      </c>
      <c r="G215" s="1" t="str">
        <f t="shared" si="7"/>
        <v>Wed</v>
      </c>
      <c r="H215" s="7">
        <v>1372</v>
      </c>
      <c r="I215" s="6">
        <v>144</v>
      </c>
    </row>
    <row r="216" spans="1:9" x14ac:dyDescent="0.25">
      <c r="A216" t="s">
        <v>34</v>
      </c>
      <c r="B216" t="s">
        <v>15</v>
      </c>
      <c r="C216" t="s">
        <v>37</v>
      </c>
      <c r="D216" s="1">
        <v>44706</v>
      </c>
      <c r="E216" s="1" t="str">
        <f>TEXT(Sales[[#This Row],[Date]],"mmm")</f>
        <v>May</v>
      </c>
      <c r="F216" s="1" t="str">
        <f t="shared" si="6"/>
        <v>2022</v>
      </c>
      <c r="G216" s="1" t="str">
        <f t="shared" si="7"/>
        <v>Wed</v>
      </c>
      <c r="H216" s="7">
        <v>735</v>
      </c>
      <c r="I216" s="6">
        <v>390</v>
      </c>
    </row>
    <row r="217" spans="1:9" x14ac:dyDescent="0.25">
      <c r="A217" t="s">
        <v>9</v>
      </c>
      <c r="B217" t="s">
        <v>7</v>
      </c>
      <c r="C217" t="s">
        <v>51</v>
      </c>
      <c r="D217" s="1">
        <v>44636</v>
      </c>
      <c r="E217" s="1" t="str">
        <f>TEXT(Sales[[#This Row],[Date]],"mmm")</f>
        <v>Mar</v>
      </c>
      <c r="F217" s="1" t="str">
        <f t="shared" si="6"/>
        <v>2022</v>
      </c>
      <c r="G217" s="1" t="str">
        <f t="shared" si="7"/>
        <v>Wed</v>
      </c>
      <c r="H217" s="7">
        <v>6538</v>
      </c>
      <c r="I217" s="6">
        <v>79</v>
      </c>
    </row>
    <row r="218" spans="1:9" x14ac:dyDescent="0.25">
      <c r="A218" t="s">
        <v>14</v>
      </c>
      <c r="B218" t="s">
        <v>15</v>
      </c>
      <c r="C218" t="s">
        <v>27</v>
      </c>
      <c r="D218" s="1">
        <v>44746</v>
      </c>
      <c r="E218" s="1" t="str">
        <f>TEXT(Sales[[#This Row],[Date]],"mmm")</f>
        <v>Jul</v>
      </c>
      <c r="F218" s="1" t="str">
        <f t="shared" si="6"/>
        <v>2022</v>
      </c>
      <c r="G218" s="1" t="str">
        <f t="shared" si="7"/>
        <v>Mon</v>
      </c>
      <c r="H218" s="7">
        <v>3199</v>
      </c>
      <c r="I218" s="6">
        <v>122</v>
      </c>
    </row>
    <row r="219" spans="1:9" x14ac:dyDescent="0.25">
      <c r="A219" t="s">
        <v>6</v>
      </c>
      <c r="B219" t="s">
        <v>10</v>
      </c>
      <c r="C219" t="s">
        <v>22</v>
      </c>
      <c r="D219" s="1">
        <v>44747</v>
      </c>
      <c r="E219" s="1" t="str">
        <f>TEXT(Sales[[#This Row],[Date]],"mmm")</f>
        <v>Jul</v>
      </c>
      <c r="F219" s="1" t="str">
        <f t="shared" si="6"/>
        <v>2022</v>
      </c>
      <c r="G219" s="1" t="str">
        <f t="shared" si="7"/>
        <v>Tue</v>
      </c>
      <c r="H219" s="7">
        <v>3472</v>
      </c>
      <c r="I219" s="6">
        <v>135</v>
      </c>
    </row>
    <row r="220" spans="1:9" x14ac:dyDescent="0.25">
      <c r="A220" t="s">
        <v>53</v>
      </c>
      <c r="B220" t="s">
        <v>26</v>
      </c>
      <c r="C220" t="s">
        <v>20</v>
      </c>
      <c r="D220" s="1">
        <v>44635</v>
      </c>
      <c r="E220" s="1" t="str">
        <f>TEXT(Sales[[#This Row],[Date]],"mmm")</f>
        <v>Mar</v>
      </c>
      <c r="F220" s="1" t="str">
        <f t="shared" si="6"/>
        <v>2022</v>
      </c>
      <c r="G220" s="1" t="str">
        <f t="shared" si="7"/>
        <v>Tue</v>
      </c>
      <c r="H220" s="7">
        <v>4571</v>
      </c>
      <c r="I220" s="6">
        <v>430</v>
      </c>
    </row>
    <row r="221" spans="1:9" x14ac:dyDescent="0.25">
      <c r="A221" t="s">
        <v>25</v>
      </c>
      <c r="B221" t="s">
        <v>7</v>
      </c>
      <c r="C221" t="s">
        <v>51</v>
      </c>
      <c r="D221" s="1">
        <v>44795</v>
      </c>
      <c r="E221" s="1" t="str">
        <f>TEXT(Sales[[#This Row],[Date]],"mmm")</f>
        <v>Aug</v>
      </c>
      <c r="F221" s="1" t="str">
        <f t="shared" si="6"/>
        <v>2022</v>
      </c>
      <c r="G221" s="1" t="str">
        <f t="shared" si="7"/>
        <v>Mon</v>
      </c>
      <c r="H221" s="7">
        <v>5481</v>
      </c>
      <c r="I221" s="6">
        <v>69</v>
      </c>
    </row>
    <row r="222" spans="1:9" x14ac:dyDescent="0.25">
      <c r="A222" t="s">
        <v>55</v>
      </c>
      <c r="B222" t="s">
        <v>15</v>
      </c>
      <c r="C222" t="s">
        <v>58</v>
      </c>
      <c r="D222" s="1">
        <v>44573</v>
      </c>
      <c r="E222" s="1" t="str">
        <f>TEXT(Sales[[#This Row],[Date]],"mmm")</f>
        <v>Jan</v>
      </c>
      <c r="F222" s="1" t="str">
        <f t="shared" si="6"/>
        <v>2022</v>
      </c>
      <c r="G222" s="1" t="str">
        <f t="shared" si="7"/>
        <v>Wed</v>
      </c>
      <c r="H222" s="7">
        <v>3136</v>
      </c>
      <c r="I222" s="6">
        <v>125</v>
      </c>
    </row>
    <row r="223" spans="1:9" x14ac:dyDescent="0.25">
      <c r="A223" t="s">
        <v>33</v>
      </c>
      <c r="B223" t="s">
        <v>7</v>
      </c>
      <c r="C223" t="s">
        <v>56</v>
      </c>
      <c r="D223" s="1">
        <v>44722</v>
      </c>
      <c r="E223" s="1" t="str">
        <f>TEXT(Sales[[#This Row],[Date]],"mmm")</f>
        <v>Jun</v>
      </c>
      <c r="F223" s="1" t="str">
        <f t="shared" si="6"/>
        <v>2022</v>
      </c>
      <c r="G223" s="1" t="str">
        <f t="shared" si="7"/>
        <v>Fri</v>
      </c>
      <c r="H223" s="7">
        <v>252</v>
      </c>
      <c r="I223" s="6">
        <v>154</v>
      </c>
    </row>
    <row r="224" spans="1:9" x14ac:dyDescent="0.25">
      <c r="A224" t="s">
        <v>41</v>
      </c>
      <c r="B224" t="s">
        <v>15</v>
      </c>
      <c r="C224" t="s">
        <v>13</v>
      </c>
      <c r="D224" s="1">
        <v>44645</v>
      </c>
      <c r="E224" s="1" t="str">
        <f>TEXT(Sales[[#This Row],[Date]],"mmm")</f>
        <v>Mar</v>
      </c>
      <c r="F224" s="1" t="str">
        <f t="shared" si="6"/>
        <v>2022</v>
      </c>
      <c r="G224" s="1" t="str">
        <f t="shared" si="7"/>
        <v>Fri</v>
      </c>
      <c r="H224" s="7">
        <v>5460</v>
      </c>
      <c r="I224" s="6">
        <v>286</v>
      </c>
    </row>
    <row r="225" spans="1:9" x14ac:dyDescent="0.25">
      <c r="A225" t="s">
        <v>24</v>
      </c>
      <c r="B225" t="s">
        <v>10</v>
      </c>
      <c r="C225" t="s">
        <v>47</v>
      </c>
      <c r="D225" s="1">
        <v>44769</v>
      </c>
      <c r="E225" s="1" t="str">
        <f>TEXT(Sales[[#This Row],[Date]],"mmm")</f>
        <v>Jul</v>
      </c>
      <c r="F225" s="1" t="str">
        <f t="shared" si="6"/>
        <v>2022</v>
      </c>
      <c r="G225" s="1" t="str">
        <f t="shared" si="7"/>
        <v>Wed</v>
      </c>
      <c r="H225" s="7">
        <v>3395</v>
      </c>
      <c r="I225" s="6">
        <v>99</v>
      </c>
    </row>
    <row r="226" spans="1:9" x14ac:dyDescent="0.25">
      <c r="A226" t="s">
        <v>40</v>
      </c>
      <c r="B226" t="s">
        <v>7</v>
      </c>
      <c r="C226" t="s">
        <v>57</v>
      </c>
      <c r="D226" s="1">
        <v>44666</v>
      </c>
      <c r="E226" s="1" t="str">
        <f>TEXT(Sales[[#This Row],[Date]],"mmm")</f>
        <v>Apr</v>
      </c>
      <c r="F226" s="1" t="str">
        <f t="shared" si="6"/>
        <v>2022</v>
      </c>
      <c r="G226" s="1" t="str">
        <f t="shared" si="7"/>
        <v>Fri</v>
      </c>
      <c r="H226" s="7">
        <v>14938</v>
      </c>
      <c r="I226" s="6">
        <v>433</v>
      </c>
    </row>
    <row r="227" spans="1:9" x14ac:dyDescent="0.25">
      <c r="A227" t="s">
        <v>36</v>
      </c>
      <c r="B227" t="s">
        <v>10</v>
      </c>
      <c r="C227" t="s">
        <v>27</v>
      </c>
      <c r="D227" s="1">
        <v>44739</v>
      </c>
      <c r="E227" s="1" t="str">
        <f>TEXT(Sales[[#This Row],[Date]],"mmm")</f>
        <v>Jun</v>
      </c>
      <c r="F227" s="1" t="str">
        <f t="shared" si="6"/>
        <v>2022</v>
      </c>
      <c r="G227" s="1" t="str">
        <f t="shared" si="7"/>
        <v>Mon</v>
      </c>
      <c r="H227" s="7">
        <v>4053</v>
      </c>
      <c r="I227" s="6">
        <v>19</v>
      </c>
    </row>
    <row r="228" spans="1:9" x14ac:dyDescent="0.25">
      <c r="A228" t="s">
        <v>6</v>
      </c>
      <c r="B228" t="s">
        <v>7</v>
      </c>
      <c r="C228" t="s">
        <v>58</v>
      </c>
      <c r="D228" s="1">
        <v>44665</v>
      </c>
      <c r="E228" s="1" t="str">
        <f>TEXT(Sales[[#This Row],[Date]],"mmm")</f>
        <v>Apr</v>
      </c>
      <c r="F228" s="1" t="str">
        <f t="shared" si="6"/>
        <v>2022</v>
      </c>
      <c r="G228" s="1" t="str">
        <f t="shared" si="7"/>
        <v>Thu</v>
      </c>
      <c r="H228" s="7">
        <v>5565</v>
      </c>
      <c r="I228" s="6">
        <v>258</v>
      </c>
    </row>
    <row r="229" spans="1:9" x14ac:dyDescent="0.25">
      <c r="A229" t="s">
        <v>40</v>
      </c>
      <c r="B229" t="s">
        <v>15</v>
      </c>
      <c r="C229" t="s">
        <v>45</v>
      </c>
      <c r="D229" s="1">
        <v>44635</v>
      </c>
      <c r="E229" s="1" t="str">
        <f>TEXT(Sales[[#This Row],[Date]],"mmm")</f>
        <v>Mar</v>
      </c>
      <c r="F229" s="1" t="str">
        <f t="shared" si="6"/>
        <v>2022</v>
      </c>
      <c r="G229" s="1" t="str">
        <f t="shared" si="7"/>
        <v>Tue</v>
      </c>
      <c r="H229" s="7">
        <v>7161</v>
      </c>
      <c r="I229" s="6">
        <v>92</v>
      </c>
    </row>
    <row r="230" spans="1:9" x14ac:dyDescent="0.25">
      <c r="A230" t="s">
        <v>53</v>
      </c>
      <c r="B230" t="s">
        <v>26</v>
      </c>
      <c r="C230" t="s">
        <v>30</v>
      </c>
      <c r="D230" s="1">
        <v>44638</v>
      </c>
      <c r="E230" s="1" t="str">
        <f>TEXT(Sales[[#This Row],[Date]],"mmm")</f>
        <v>Mar</v>
      </c>
      <c r="F230" s="1" t="str">
        <f t="shared" si="6"/>
        <v>2022</v>
      </c>
      <c r="G230" s="1" t="str">
        <f t="shared" si="7"/>
        <v>Fri</v>
      </c>
      <c r="H230" s="7">
        <v>8883</v>
      </c>
      <c r="I230" s="6">
        <v>200</v>
      </c>
    </row>
    <row r="231" spans="1:9" x14ac:dyDescent="0.25">
      <c r="A231" t="s">
        <v>23</v>
      </c>
      <c r="B231" t="s">
        <v>10</v>
      </c>
      <c r="C231" t="s">
        <v>30</v>
      </c>
      <c r="D231" s="1">
        <v>44680</v>
      </c>
      <c r="E231" s="1" t="str">
        <f>TEXT(Sales[[#This Row],[Date]],"mmm")</f>
        <v>Apr</v>
      </c>
      <c r="F231" s="1" t="str">
        <f t="shared" si="6"/>
        <v>2022</v>
      </c>
      <c r="G231" s="1" t="str">
        <f t="shared" si="7"/>
        <v>Fri</v>
      </c>
      <c r="H231" s="7">
        <v>1351</v>
      </c>
      <c r="I231" s="6">
        <v>61</v>
      </c>
    </row>
    <row r="232" spans="1:9" x14ac:dyDescent="0.25">
      <c r="A232" t="s">
        <v>28</v>
      </c>
      <c r="B232" t="s">
        <v>21</v>
      </c>
      <c r="C232" t="s">
        <v>44</v>
      </c>
      <c r="D232" s="1">
        <v>44617</v>
      </c>
      <c r="E232" s="1" t="str">
        <f>TEXT(Sales[[#This Row],[Date]],"mmm")</f>
        <v>Feb</v>
      </c>
      <c r="F232" s="1" t="str">
        <f t="shared" si="6"/>
        <v>2022</v>
      </c>
      <c r="G232" s="1" t="str">
        <f t="shared" si="7"/>
        <v>Fri</v>
      </c>
      <c r="H232" s="7">
        <v>3171</v>
      </c>
      <c r="I232" s="6">
        <v>246</v>
      </c>
    </row>
    <row r="233" spans="1:9" x14ac:dyDescent="0.25">
      <c r="A233" t="s">
        <v>40</v>
      </c>
      <c r="B233" t="s">
        <v>26</v>
      </c>
      <c r="C233" t="s">
        <v>37</v>
      </c>
      <c r="D233" s="1">
        <v>44622</v>
      </c>
      <c r="E233" s="1" t="str">
        <f>TEXT(Sales[[#This Row],[Date]],"mmm")</f>
        <v>Mar</v>
      </c>
      <c r="F233" s="1" t="str">
        <f t="shared" si="6"/>
        <v>2022</v>
      </c>
      <c r="G233" s="1" t="str">
        <f t="shared" si="7"/>
        <v>Wed</v>
      </c>
      <c r="H233" s="7">
        <v>854</v>
      </c>
      <c r="I233" s="6">
        <v>56</v>
      </c>
    </row>
    <row r="234" spans="1:9" x14ac:dyDescent="0.25">
      <c r="A234" t="s">
        <v>9</v>
      </c>
      <c r="B234" t="s">
        <v>15</v>
      </c>
      <c r="C234" t="s">
        <v>37</v>
      </c>
      <c r="D234" s="1">
        <v>44732</v>
      </c>
      <c r="E234" s="1" t="str">
        <f>TEXT(Sales[[#This Row],[Date]],"mmm")</f>
        <v>Jun</v>
      </c>
      <c r="F234" s="1" t="str">
        <f t="shared" si="6"/>
        <v>2022</v>
      </c>
      <c r="G234" s="1" t="str">
        <f t="shared" si="7"/>
        <v>Mon</v>
      </c>
      <c r="H234" s="7">
        <v>7910</v>
      </c>
      <c r="I234" s="6">
        <v>87</v>
      </c>
    </row>
    <row r="235" spans="1:9" x14ac:dyDescent="0.25">
      <c r="A235" t="s">
        <v>34</v>
      </c>
      <c r="B235" t="s">
        <v>29</v>
      </c>
      <c r="C235" t="s">
        <v>44</v>
      </c>
      <c r="D235" s="1">
        <v>44757</v>
      </c>
      <c r="E235" s="1" t="str">
        <f>TEXT(Sales[[#This Row],[Date]],"mmm")</f>
        <v>Jul</v>
      </c>
      <c r="F235" s="1" t="str">
        <f t="shared" si="6"/>
        <v>2022</v>
      </c>
      <c r="G235" s="1" t="str">
        <f t="shared" si="7"/>
        <v>Fri</v>
      </c>
      <c r="H235" s="7">
        <v>9275</v>
      </c>
      <c r="I235" s="6">
        <v>173</v>
      </c>
    </row>
    <row r="236" spans="1:9" x14ac:dyDescent="0.25">
      <c r="A236" t="s">
        <v>54</v>
      </c>
      <c r="B236" t="s">
        <v>15</v>
      </c>
      <c r="C236" t="s">
        <v>22</v>
      </c>
      <c r="D236" s="1">
        <v>44693</v>
      </c>
      <c r="E236" s="1" t="str">
        <f>TEXT(Sales[[#This Row],[Date]],"mmm")</f>
        <v>May</v>
      </c>
      <c r="F236" s="1" t="str">
        <f t="shared" si="6"/>
        <v>2022</v>
      </c>
      <c r="G236" s="1" t="str">
        <f t="shared" si="7"/>
        <v>Thu</v>
      </c>
      <c r="H236" s="7">
        <v>3108</v>
      </c>
      <c r="I236" s="6">
        <v>252</v>
      </c>
    </row>
    <row r="237" spans="1:9" x14ac:dyDescent="0.25">
      <c r="A237" t="s">
        <v>28</v>
      </c>
      <c r="B237" t="s">
        <v>21</v>
      </c>
      <c r="C237" t="s">
        <v>35</v>
      </c>
      <c r="D237" s="1">
        <v>44743</v>
      </c>
      <c r="E237" s="1" t="str">
        <f>TEXT(Sales[[#This Row],[Date]],"mmm")</f>
        <v>Jul</v>
      </c>
      <c r="F237" s="1" t="str">
        <f t="shared" si="6"/>
        <v>2022</v>
      </c>
      <c r="G237" s="1" t="str">
        <f t="shared" si="7"/>
        <v>Fri</v>
      </c>
      <c r="H237" s="7">
        <v>5075</v>
      </c>
      <c r="I237" s="6">
        <v>256</v>
      </c>
    </row>
    <row r="238" spans="1:9" x14ac:dyDescent="0.25">
      <c r="A238" t="s">
        <v>40</v>
      </c>
      <c r="B238" t="s">
        <v>26</v>
      </c>
      <c r="C238" t="s">
        <v>11</v>
      </c>
      <c r="D238" s="1">
        <v>44781</v>
      </c>
      <c r="E238" s="1" t="str">
        <f>TEXT(Sales[[#This Row],[Date]],"mmm")</f>
        <v>Aug</v>
      </c>
      <c r="F238" s="1" t="str">
        <f t="shared" si="6"/>
        <v>2022</v>
      </c>
      <c r="G238" s="1" t="str">
        <f t="shared" si="7"/>
        <v>Mon</v>
      </c>
      <c r="H238" s="7">
        <v>378</v>
      </c>
      <c r="I238" s="6">
        <v>54</v>
      </c>
    </row>
    <row r="239" spans="1:9" x14ac:dyDescent="0.25">
      <c r="A239" t="s">
        <v>53</v>
      </c>
      <c r="B239" t="s">
        <v>15</v>
      </c>
      <c r="C239" t="s">
        <v>22</v>
      </c>
      <c r="D239" s="1">
        <v>44767</v>
      </c>
      <c r="E239" s="1" t="str">
        <f>TEXT(Sales[[#This Row],[Date]],"mmm")</f>
        <v>Jul</v>
      </c>
      <c r="F239" s="1" t="str">
        <f t="shared" si="6"/>
        <v>2022</v>
      </c>
      <c r="G239" s="1" t="str">
        <f t="shared" si="7"/>
        <v>Mon</v>
      </c>
      <c r="H239" s="7">
        <v>7350</v>
      </c>
      <c r="I239" s="6">
        <v>6</v>
      </c>
    </row>
    <row r="240" spans="1:9" x14ac:dyDescent="0.25">
      <c r="A240" t="s">
        <v>46</v>
      </c>
      <c r="B240" t="s">
        <v>7</v>
      </c>
      <c r="C240" t="s">
        <v>32</v>
      </c>
      <c r="D240" s="1">
        <v>44699</v>
      </c>
      <c r="E240" s="1" t="str">
        <f>TEXT(Sales[[#This Row],[Date]],"mmm")</f>
        <v>May</v>
      </c>
      <c r="F240" s="1" t="str">
        <f t="shared" si="6"/>
        <v>2022</v>
      </c>
      <c r="G240" s="1" t="str">
        <f t="shared" si="7"/>
        <v>Wed</v>
      </c>
      <c r="H240" s="7">
        <v>3388</v>
      </c>
      <c r="I240" s="6">
        <v>55</v>
      </c>
    </row>
    <row r="241" spans="1:9" x14ac:dyDescent="0.25">
      <c r="A241" t="s">
        <v>50</v>
      </c>
      <c r="B241" t="s">
        <v>10</v>
      </c>
      <c r="C241" t="s">
        <v>13</v>
      </c>
      <c r="D241" s="1">
        <v>44757</v>
      </c>
      <c r="E241" s="1" t="str">
        <f>TEXT(Sales[[#This Row],[Date]],"mmm")</f>
        <v>Jul</v>
      </c>
      <c r="F241" s="1" t="str">
        <f t="shared" si="6"/>
        <v>2022</v>
      </c>
      <c r="G241" s="1" t="str">
        <f t="shared" si="7"/>
        <v>Fri</v>
      </c>
      <c r="H241" s="7">
        <v>11837</v>
      </c>
      <c r="I241" s="6">
        <v>277</v>
      </c>
    </row>
    <row r="242" spans="1:9" x14ac:dyDescent="0.25">
      <c r="A242" t="s">
        <v>38</v>
      </c>
      <c r="B242" t="s">
        <v>10</v>
      </c>
      <c r="C242" t="s">
        <v>58</v>
      </c>
      <c r="D242" s="1">
        <v>44747</v>
      </c>
      <c r="E242" s="1" t="str">
        <f>TEXT(Sales[[#This Row],[Date]],"mmm")</f>
        <v>Jul</v>
      </c>
      <c r="F242" s="1" t="str">
        <f t="shared" si="6"/>
        <v>2022</v>
      </c>
      <c r="G242" s="1" t="str">
        <f t="shared" si="7"/>
        <v>Tue</v>
      </c>
      <c r="H242" s="7">
        <v>2282</v>
      </c>
      <c r="I242" s="6">
        <v>44</v>
      </c>
    </row>
    <row r="243" spans="1:9" x14ac:dyDescent="0.25">
      <c r="A243" t="s">
        <v>28</v>
      </c>
      <c r="B243" t="s">
        <v>26</v>
      </c>
      <c r="C243" t="s">
        <v>45</v>
      </c>
      <c r="D243" s="1">
        <v>44746</v>
      </c>
      <c r="E243" s="1" t="str">
        <f>TEXT(Sales[[#This Row],[Date]],"mmm")</f>
        <v>Jul</v>
      </c>
      <c r="F243" s="1" t="str">
        <f t="shared" si="6"/>
        <v>2022</v>
      </c>
      <c r="G243" s="1" t="str">
        <f t="shared" si="7"/>
        <v>Mon</v>
      </c>
      <c r="H243" s="7">
        <v>5425</v>
      </c>
      <c r="I243" s="6">
        <v>96</v>
      </c>
    </row>
    <row r="244" spans="1:9" x14ac:dyDescent="0.25">
      <c r="A244" t="s">
        <v>54</v>
      </c>
      <c r="B244" t="s">
        <v>7</v>
      </c>
      <c r="C244" t="s">
        <v>58</v>
      </c>
      <c r="D244" s="1">
        <v>44732</v>
      </c>
      <c r="E244" s="1" t="str">
        <f>TEXT(Sales[[#This Row],[Date]],"mmm")</f>
        <v>Jun</v>
      </c>
      <c r="F244" s="1" t="str">
        <f t="shared" si="6"/>
        <v>2022</v>
      </c>
      <c r="G244" s="1" t="str">
        <f t="shared" si="7"/>
        <v>Mon</v>
      </c>
      <c r="H244" s="7">
        <v>1267</v>
      </c>
      <c r="I244" s="6">
        <v>216</v>
      </c>
    </row>
    <row r="245" spans="1:9" x14ac:dyDescent="0.25">
      <c r="A245" t="s">
        <v>19</v>
      </c>
      <c r="B245" t="s">
        <v>15</v>
      </c>
      <c r="C245" t="s">
        <v>47</v>
      </c>
      <c r="D245" s="1">
        <v>44586</v>
      </c>
      <c r="E245" s="1" t="str">
        <f>TEXT(Sales[[#This Row],[Date]],"mmm")</f>
        <v>Jan</v>
      </c>
      <c r="F245" s="1" t="str">
        <f t="shared" si="6"/>
        <v>2022</v>
      </c>
      <c r="G245" s="1" t="str">
        <f t="shared" si="7"/>
        <v>Tue</v>
      </c>
      <c r="H245" s="7">
        <v>3752</v>
      </c>
      <c r="I245" s="6">
        <v>424</v>
      </c>
    </row>
    <row r="246" spans="1:9" x14ac:dyDescent="0.25">
      <c r="A246" t="s">
        <v>41</v>
      </c>
      <c r="B246" t="s">
        <v>21</v>
      </c>
      <c r="C246" t="s">
        <v>39</v>
      </c>
      <c r="D246" s="1">
        <v>44743</v>
      </c>
      <c r="E246" s="1" t="str">
        <f>TEXT(Sales[[#This Row],[Date]],"mmm")</f>
        <v>Jul</v>
      </c>
      <c r="F246" s="1" t="str">
        <f t="shared" si="6"/>
        <v>2022</v>
      </c>
      <c r="G246" s="1" t="str">
        <f t="shared" si="7"/>
        <v>Fri</v>
      </c>
      <c r="H246" s="7">
        <v>7728</v>
      </c>
      <c r="I246" s="6">
        <v>37</v>
      </c>
    </row>
    <row r="247" spans="1:9" x14ac:dyDescent="0.25">
      <c r="A247" t="s">
        <v>12</v>
      </c>
      <c r="B247" t="s">
        <v>26</v>
      </c>
      <c r="C247" t="s">
        <v>22</v>
      </c>
      <c r="D247" s="1">
        <v>44664</v>
      </c>
      <c r="E247" s="1" t="str">
        <f>TEXT(Sales[[#This Row],[Date]],"mmm")</f>
        <v>Apr</v>
      </c>
      <c r="F247" s="1" t="str">
        <f t="shared" si="6"/>
        <v>2022</v>
      </c>
      <c r="G247" s="1" t="str">
        <f t="shared" si="7"/>
        <v>Wed</v>
      </c>
      <c r="H247" s="7">
        <v>2296</v>
      </c>
      <c r="I247" s="6">
        <v>59</v>
      </c>
    </row>
    <row r="248" spans="1:9" x14ac:dyDescent="0.25">
      <c r="A248" t="s">
        <v>34</v>
      </c>
      <c r="B248" t="s">
        <v>7</v>
      </c>
      <c r="C248" t="s">
        <v>16</v>
      </c>
      <c r="D248" s="1">
        <v>44685</v>
      </c>
      <c r="E248" s="1" t="str">
        <f>TEXT(Sales[[#This Row],[Date]],"mmm")</f>
        <v>May</v>
      </c>
      <c r="F248" s="1" t="str">
        <f t="shared" si="6"/>
        <v>2022</v>
      </c>
      <c r="G248" s="1" t="str">
        <f t="shared" si="7"/>
        <v>Wed</v>
      </c>
      <c r="H248" s="7">
        <v>4403</v>
      </c>
      <c r="I248" s="6">
        <v>76</v>
      </c>
    </row>
    <row r="249" spans="1:9" x14ac:dyDescent="0.25">
      <c r="A249" t="s">
        <v>34</v>
      </c>
      <c r="B249" t="s">
        <v>15</v>
      </c>
      <c r="C249" t="s">
        <v>56</v>
      </c>
      <c r="D249" s="1">
        <v>44777</v>
      </c>
      <c r="E249" s="1" t="str">
        <f>TEXT(Sales[[#This Row],[Date]],"mmm")</f>
        <v>Aug</v>
      </c>
      <c r="F249" s="1" t="str">
        <f t="shared" si="6"/>
        <v>2022</v>
      </c>
      <c r="G249" s="1" t="str">
        <f t="shared" si="7"/>
        <v>Thu</v>
      </c>
      <c r="H249" s="7">
        <v>3192</v>
      </c>
      <c r="I249" s="6">
        <v>109</v>
      </c>
    </row>
    <row r="250" spans="1:9" x14ac:dyDescent="0.25">
      <c r="A250" t="s">
        <v>34</v>
      </c>
      <c r="B250" t="s">
        <v>10</v>
      </c>
      <c r="C250" t="s">
        <v>58</v>
      </c>
      <c r="D250" s="1">
        <v>44713</v>
      </c>
      <c r="E250" s="1" t="str">
        <f>TEXT(Sales[[#This Row],[Date]],"mmm")</f>
        <v>Jun</v>
      </c>
      <c r="F250" s="1" t="str">
        <f t="shared" si="6"/>
        <v>2022</v>
      </c>
      <c r="G250" s="1" t="str">
        <f t="shared" si="7"/>
        <v>Wed</v>
      </c>
      <c r="H250" s="7">
        <v>448</v>
      </c>
      <c r="I250" s="6">
        <v>146</v>
      </c>
    </row>
    <row r="251" spans="1:9" x14ac:dyDescent="0.25">
      <c r="A251" t="s">
        <v>6</v>
      </c>
      <c r="B251" t="s">
        <v>7</v>
      </c>
      <c r="C251" t="s">
        <v>52</v>
      </c>
      <c r="D251" s="1">
        <v>44673</v>
      </c>
      <c r="E251" s="1" t="str">
        <f>TEXT(Sales[[#This Row],[Date]],"mmm")</f>
        <v>Apr</v>
      </c>
      <c r="F251" s="1" t="str">
        <f t="shared" si="6"/>
        <v>2022</v>
      </c>
      <c r="G251" s="1" t="str">
        <f t="shared" si="7"/>
        <v>Fri</v>
      </c>
      <c r="H251" s="7">
        <v>4270</v>
      </c>
      <c r="I251" s="6">
        <v>185</v>
      </c>
    </row>
    <row r="252" spans="1:9" x14ac:dyDescent="0.25">
      <c r="A252" t="s">
        <v>41</v>
      </c>
      <c r="B252" t="s">
        <v>26</v>
      </c>
      <c r="C252" t="s">
        <v>22</v>
      </c>
      <c r="D252" s="1">
        <v>44776</v>
      </c>
      <c r="E252" s="1" t="str">
        <f>TEXT(Sales[[#This Row],[Date]],"mmm")</f>
        <v>Aug</v>
      </c>
      <c r="F252" s="1" t="str">
        <f t="shared" si="6"/>
        <v>2022</v>
      </c>
      <c r="G252" s="1" t="str">
        <f t="shared" si="7"/>
        <v>Wed</v>
      </c>
      <c r="H252" s="7">
        <v>70</v>
      </c>
      <c r="I252" s="6">
        <v>27</v>
      </c>
    </row>
    <row r="253" spans="1:9" x14ac:dyDescent="0.25">
      <c r="A253" t="s">
        <v>55</v>
      </c>
      <c r="B253" t="s">
        <v>26</v>
      </c>
      <c r="C253" t="s">
        <v>27</v>
      </c>
      <c r="D253" s="1">
        <v>44722</v>
      </c>
      <c r="E253" s="1" t="str">
        <f>TEXT(Sales[[#This Row],[Date]],"mmm")</f>
        <v>Jun</v>
      </c>
      <c r="F253" s="1" t="str">
        <f t="shared" si="6"/>
        <v>2022</v>
      </c>
      <c r="G253" s="1" t="str">
        <f t="shared" si="7"/>
        <v>Fri</v>
      </c>
      <c r="H253" s="7">
        <v>1743</v>
      </c>
      <c r="I253" s="6">
        <v>69</v>
      </c>
    </row>
    <row r="254" spans="1:9" x14ac:dyDescent="0.25">
      <c r="A254" t="s">
        <v>19</v>
      </c>
      <c r="B254" t="s">
        <v>7</v>
      </c>
      <c r="C254" t="s">
        <v>45</v>
      </c>
      <c r="D254" s="1">
        <v>44739</v>
      </c>
      <c r="E254" s="1" t="str">
        <f>TEXT(Sales[[#This Row],[Date]],"mmm")</f>
        <v>Jun</v>
      </c>
      <c r="F254" s="1" t="str">
        <f t="shared" si="6"/>
        <v>2022</v>
      </c>
      <c r="G254" s="1" t="str">
        <f t="shared" si="7"/>
        <v>Mon</v>
      </c>
      <c r="H254" s="7">
        <v>6762</v>
      </c>
      <c r="I254" s="6">
        <v>46</v>
      </c>
    </row>
    <row r="255" spans="1:9" x14ac:dyDescent="0.25">
      <c r="A255" t="s">
        <v>33</v>
      </c>
      <c r="B255" t="s">
        <v>15</v>
      </c>
      <c r="C255" t="s">
        <v>16</v>
      </c>
      <c r="D255" s="1">
        <v>44564</v>
      </c>
      <c r="E255" s="1" t="str">
        <f>TEXT(Sales[[#This Row],[Date]],"mmm")</f>
        <v>Jan</v>
      </c>
      <c r="F255" s="1" t="str">
        <f t="shared" si="6"/>
        <v>2022</v>
      </c>
      <c r="G255" s="1" t="str">
        <f t="shared" si="7"/>
        <v>Mon</v>
      </c>
      <c r="H255" s="7">
        <v>3745</v>
      </c>
      <c r="I255" s="6">
        <v>170</v>
      </c>
    </row>
    <row r="256" spans="1:9" x14ac:dyDescent="0.25">
      <c r="A256" t="s">
        <v>33</v>
      </c>
      <c r="B256" t="s">
        <v>10</v>
      </c>
      <c r="C256" t="s">
        <v>20</v>
      </c>
      <c r="D256" s="1">
        <v>44753</v>
      </c>
      <c r="E256" s="1" t="str">
        <f>TEXT(Sales[[#This Row],[Date]],"mmm")</f>
        <v>Jul</v>
      </c>
      <c r="F256" s="1" t="str">
        <f t="shared" si="6"/>
        <v>2022</v>
      </c>
      <c r="G256" s="1" t="str">
        <f t="shared" si="7"/>
        <v>Mon</v>
      </c>
      <c r="H256" s="7">
        <v>2639</v>
      </c>
      <c r="I256" s="6">
        <v>179</v>
      </c>
    </row>
    <row r="257" spans="1:9" x14ac:dyDescent="0.25">
      <c r="A257" t="s">
        <v>55</v>
      </c>
      <c r="B257" t="s">
        <v>21</v>
      </c>
      <c r="C257" t="s">
        <v>37</v>
      </c>
      <c r="D257" s="1">
        <v>44790</v>
      </c>
      <c r="E257" s="1" t="str">
        <f>TEXT(Sales[[#This Row],[Date]],"mmm")</f>
        <v>Aug</v>
      </c>
      <c r="F257" s="1" t="str">
        <f t="shared" si="6"/>
        <v>2022</v>
      </c>
      <c r="G257" s="1" t="str">
        <f t="shared" si="7"/>
        <v>Wed</v>
      </c>
      <c r="H257" s="7">
        <v>4389</v>
      </c>
      <c r="I257" s="6">
        <v>126</v>
      </c>
    </row>
    <row r="258" spans="1:9" x14ac:dyDescent="0.25">
      <c r="A258" t="s">
        <v>24</v>
      </c>
      <c r="B258" t="s">
        <v>26</v>
      </c>
      <c r="C258" t="s">
        <v>42</v>
      </c>
      <c r="D258" s="1">
        <v>44579</v>
      </c>
      <c r="E258" s="1" t="str">
        <f>TEXT(Sales[[#This Row],[Date]],"mmm")</f>
        <v>Jan</v>
      </c>
      <c r="F258" s="1" t="str">
        <f t="shared" ref="F258:F321" si="8">TEXT(D:D,"yyyy")</f>
        <v>2022</v>
      </c>
      <c r="G258" s="1" t="str">
        <f t="shared" ref="G258:G321" si="9">TEXT(D:D,"ddd")</f>
        <v>Tue</v>
      </c>
      <c r="H258" s="7">
        <v>2604</v>
      </c>
      <c r="I258" s="6">
        <v>65</v>
      </c>
    </row>
    <row r="259" spans="1:9" x14ac:dyDescent="0.25">
      <c r="A259" t="s">
        <v>55</v>
      </c>
      <c r="B259" t="s">
        <v>10</v>
      </c>
      <c r="C259" t="s">
        <v>35</v>
      </c>
      <c r="D259" s="1">
        <v>44628</v>
      </c>
      <c r="E259" s="1" t="str">
        <f>TEXT(Sales[[#This Row],[Date]],"mmm")</f>
        <v>Mar</v>
      </c>
      <c r="F259" s="1" t="str">
        <f t="shared" si="8"/>
        <v>2022</v>
      </c>
      <c r="G259" s="1" t="str">
        <f t="shared" si="9"/>
        <v>Tue</v>
      </c>
      <c r="H259" s="7">
        <v>16569</v>
      </c>
      <c r="I259" s="6">
        <v>99</v>
      </c>
    </row>
    <row r="260" spans="1:9" x14ac:dyDescent="0.25">
      <c r="A260" t="s">
        <v>28</v>
      </c>
      <c r="B260" t="s">
        <v>15</v>
      </c>
      <c r="C260" t="s">
        <v>27</v>
      </c>
      <c r="D260" s="1">
        <v>44627</v>
      </c>
      <c r="E260" s="1" t="str">
        <f>TEXT(Sales[[#This Row],[Date]],"mmm")</f>
        <v>Mar</v>
      </c>
      <c r="F260" s="1" t="str">
        <f t="shared" si="8"/>
        <v>2022</v>
      </c>
      <c r="G260" s="1" t="str">
        <f t="shared" si="9"/>
        <v>Mon</v>
      </c>
      <c r="H260" s="7">
        <v>14658</v>
      </c>
      <c r="I260" s="6">
        <v>275</v>
      </c>
    </row>
    <row r="261" spans="1:9" x14ac:dyDescent="0.25">
      <c r="A261" t="s">
        <v>40</v>
      </c>
      <c r="B261" t="s">
        <v>10</v>
      </c>
      <c r="C261" t="s">
        <v>58</v>
      </c>
      <c r="D261" s="1">
        <v>44690</v>
      </c>
      <c r="E261" s="1" t="str">
        <f>TEXT(Sales[[#This Row],[Date]],"mmm")</f>
        <v>May</v>
      </c>
      <c r="F261" s="1" t="str">
        <f t="shared" si="8"/>
        <v>2022</v>
      </c>
      <c r="G261" s="1" t="str">
        <f t="shared" si="9"/>
        <v>Mon</v>
      </c>
      <c r="H261" s="7">
        <v>6454</v>
      </c>
      <c r="I261" s="6">
        <v>157</v>
      </c>
    </row>
    <row r="262" spans="1:9" x14ac:dyDescent="0.25">
      <c r="A262" t="s">
        <v>25</v>
      </c>
      <c r="B262" t="s">
        <v>21</v>
      </c>
      <c r="C262" t="s">
        <v>11</v>
      </c>
      <c r="D262" s="1">
        <v>44704</v>
      </c>
      <c r="E262" s="1" t="str">
        <f>TEXT(Sales[[#This Row],[Date]],"mmm")</f>
        <v>May</v>
      </c>
      <c r="F262" s="1" t="str">
        <f t="shared" si="8"/>
        <v>2022</v>
      </c>
      <c r="G262" s="1" t="str">
        <f t="shared" si="9"/>
        <v>Mon</v>
      </c>
      <c r="H262" s="7">
        <v>2100</v>
      </c>
      <c r="I262" s="6">
        <v>157</v>
      </c>
    </row>
    <row r="263" spans="1:9" x14ac:dyDescent="0.25">
      <c r="A263" t="s">
        <v>53</v>
      </c>
      <c r="B263" t="s">
        <v>7</v>
      </c>
      <c r="C263" t="s">
        <v>57</v>
      </c>
      <c r="D263" s="1">
        <v>44666</v>
      </c>
      <c r="E263" s="1" t="str">
        <f>TEXT(Sales[[#This Row],[Date]],"mmm")</f>
        <v>Apr</v>
      </c>
      <c r="F263" s="1" t="str">
        <f t="shared" si="8"/>
        <v>2022</v>
      </c>
      <c r="G263" s="1" t="str">
        <f t="shared" si="9"/>
        <v>Fri</v>
      </c>
      <c r="H263" s="7">
        <v>161</v>
      </c>
      <c r="I263" s="6">
        <v>145</v>
      </c>
    </row>
    <row r="264" spans="1:9" x14ac:dyDescent="0.25">
      <c r="A264" t="s">
        <v>12</v>
      </c>
      <c r="B264" t="s">
        <v>15</v>
      </c>
      <c r="C264" t="s">
        <v>32</v>
      </c>
      <c r="D264" s="1">
        <v>44769</v>
      </c>
      <c r="E264" s="1" t="str">
        <f>TEXT(Sales[[#This Row],[Date]],"mmm")</f>
        <v>Jul</v>
      </c>
      <c r="F264" s="1" t="str">
        <f t="shared" si="8"/>
        <v>2022</v>
      </c>
      <c r="G264" s="1" t="str">
        <f t="shared" si="9"/>
        <v>Wed</v>
      </c>
      <c r="H264" s="7">
        <v>2807</v>
      </c>
      <c r="I264" s="6">
        <v>139</v>
      </c>
    </row>
    <row r="265" spans="1:9" x14ac:dyDescent="0.25">
      <c r="A265" t="s">
        <v>33</v>
      </c>
      <c r="B265" t="s">
        <v>29</v>
      </c>
      <c r="C265" t="s">
        <v>52</v>
      </c>
      <c r="D265" s="1">
        <v>44795</v>
      </c>
      <c r="E265" s="1" t="str">
        <f>TEXT(Sales[[#This Row],[Date]],"mmm")</f>
        <v>Aug</v>
      </c>
      <c r="F265" s="1" t="str">
        <f t="shared" si="8"/>
        <v>2022</v>
      </c>
      <c r="G265" s="1" t="str">
        <f t="shared" si="9"/>
        <v>Mon</v>
      </c>
      <c r="H265" s="7">
        <v>2639</v>
      </c>
      <c r="I265" s="6">
        <v>406</v>
      </c>
    </row>
    <row r="266" spans="1:9" x14ac:dyDescent="0.25">
      <c r="A266" t="s">
        <v>55</v>
      </c>
      <c r="B266" t="s">
        <v>26</v>
      </c>
      <c r="C266" t="s">
        <v>58</v>
      </c>
      <c r="D266" s="1">
        <v>44692</v>
      </c>
      <c r="E266" s="1" t="str">
        <f>TEXT(Sales[[#This Row],[Date]],"mmm")</f>
        <v>May</v>
      </c>
      <c r="F266" s="1" t="str">
        <f t="shared" si="8"/>
        <v>2022</v>
      </c>
      <c r="G266" s="1" t="str">
        <f t="shared" si="9"/>
        <v>Wed</v>
      </c>
      <c r="H266" s="7">
        <v>4571</v>
      </c>
      <c r="I266" s="6">
        <v>122</v>
      </c>
    </row>
    <row r="267" spans="1:9" x14ac:dyDescent="0.25">
      <c r="A267" t="s">
        <v>53</v>
      </c>
      <c r="B267" t="s">
        <v>10</v>
      </c>
      <c r="C267" t="s">
        <v>35</v>
      </c>
      <c r="D267" s="1">
        <v>44587</v>
      </c>
      <c r="E267" s="1" t="str">
        <f>TEXT(Sales[[#This Row],[Date]],"mmm")</f>
        <v>Jan</v>
      </c>
      <c r="F267" s="1" t="str">
        <f t="shared" si="8"/>
        <v>2022</v>
      </c>
      <c r="G267" s="1" t="str">
        <f t="shared" si="9"/>
        <v>Wed</v>
      </c>
      <c r="H267" s="7">
        <v>4781</v>
      </c>
      <c r="I267" s="6">
        <v>38</v>
      </c>
    </row>
    <row r="268" spans="1:9" x14ac:dyDescent="0.25">
      <c r="A268" t="s">
        <v>25</v>
      </c>
      <c r="B268" t="s">
        <v>26</v>
      </c>
      <c r="C268" t="s">
        <v>22</v>
      </c>
      <c r="D268" s="1">
        <v>44665</v>
      </c>
      <c r="E268" s="1" t="str">
        <f>TEXT(Sales[[#This Row],[Date]],"mmm")</f>
        <v>Apr</v>
      </c>
      <c r="F268" s="1" t="str">
        <f t="shared" si="8"/>
        <v>2022</v>
      </c>
      <c r="G268" s="1" t="str">
        <f t="shared" si="9"/>
        <v>Thu</v>
      </c>
      <c r="H268" s="7">
        <v>13034</v>
      </c>
      <c r="I268" s="6">
        <v>117</v>
      </c>
    </row>
    <row r="269" spans="1:9" x14ac:dyDescent="0.25">
      <c r="A269" t="s">
        <v>43</v>
      </c>
      <c r="B269" t="s">
        <v>21</v>
      </c>
      <c r="C269" t="s">
        <v>8</v>
      </c>
      <c r="D269" s="1">
        <v>44656</v>
      </c>
      <c r="E269" s="1" t="str">
        <f>TEXT(Sales[[#This Row],[Date]],"mmm")</f>
        <v>Apr</v>
      </c>
      <c r="F269" s="1" t="str">
        <f t="shared" si="8"/>
        <v>2022</v>
      </c>
      <c r="G269" s="1" t="str">
        <f t="shared" si="9"/>
        <v>Tue</v>
      </c>
      <c r="H269" s="7">
        <v>6454</v>
      </c>
      <c r="I269" s="6">
        <v>417</v>
      </c>
    </row>
    <row r="270" spans="1:9" x14ac:dyDescent="0.25">
      <c r="A270" t="s">
        <v>33</v>
      </c>
      <c r="B270" t="s">
        <v>21</v>
      </c>
      <c r="C270" t="s">
        <v>16</v>
      </c>
      <c r="D270" s="1">
        <v>44726</v>
      </c>
      <c r="E270" s="1" t="str">
        <f>TEXT(Sales[[#This Row],[Date]],"mmm")</f>
        <v>Jun</v>
      </c>
      <c r="F270" s="1" t="str">
        <f t="shared" si="8"/>
        <v>2022</v>
      </c>
      <c r="G270" s="1" t="str">
        <f t="shared" si="9"/>
        <v>Tue</v>
      </c>
      <c r="H270" s="7">
        <v>8484</v>
      </c>
      <c r="I270" s="6">
        <v>57</v>
      </c>
    </row>
    <row r="271" spans="1:9" x14ac:dyDescent="0.25">
      <c r="A271" t="s">
        <v>23</v>
      </c>
      <c r="B271" t="s">
        <v>29</v>
      </c>
      <c r="C271" t="s">
        <v>47</v>
      </c>
      <c r="D271" s="1">
        <v>44664</v>
      </c>
      <c r="E271" s="1" t="str">
        <f>TEXT(Sales[[#This Row],[Date]],"mmm")</f>
        <v>Apr</v>
      </c>
      <c r="F271" s="1" t="str">
        <f t="shared" si="8"/>
        <v>2022</v>
      </c>
      <c r="G271" s="1" t="str">
        <f t="shared" si="9"/>
        <v>Wed</v>
      </c>
      <c r="H271" s="7">
        <v>4781</v>
      </c>
      <c r="I271" s="6">
        <v>125</v>
      </c>
    </row>
    <row r="272" spans="1:9" x14ac:dyDescent="0.25">
      <c r="A272" t="s">
        <v>34</v>
      </c>
      <c r="B272" t="s">
        <v>15</v>
      </c>
      <c r="C272" t="s">
        <v>44</v>
      </c>
      <c r="D272" s="1">
        <v>44739</v>
      </c>
      <c r="E272" s="1" t="str">
        <f>TEXT(Sales[[#This Row],[Date]],"mmm")</f>
        <v>Jun</v>
      </c>
      <c r="F272" s="1" t="str">
        <f t="shared" si="8"/>
        <v>2022</v>
      </c>
      <c r="G272" s="1" t="str">
        <f t="shared" si="9"/>
        <v>Mon</v>
      </c>
      <c r="H272" s="7">
        <v>2240</v>
      </c>
      <c r="I272" s="6">
        <v>166</v>
      </c>
    </row>
    <row r="273" spans="1:9" x14ac:dyDescent="0.25">
      <c r="A273" t="s">
        <v>54</v>
      </c>
      <c r="B273" t="s">
        <v>15</v>
      </c>
      <c r="C273" t="s">
        <v>30</v>
      </c>
      <c r="D273" s="1">
        <v>44587</v>
      </c>
      <c r="E273" s="1" t="str">
        <f>TEXT(Sales[[#This Row],[Date]],"mmm")</f>
        <v>Jan</v>
      </c>
      <c r="F273" s="1" t="str">
        <f t="shared" si="8"/>
        <v>2022</v>
      </c>
      <c r="G273" s="1" t="str">
        <f t="shared" si="9"/>
        <v>Wed</v>
      </c>
      <c r="H273" s="7">
        <v>6979</v>
      </c>
      <c r="I273" s="6">
        <v>3</v>
      </c>
    </row>
    <row r="274" spans="1:9" x14ac:dyDescent="0.25">
      <c r="A274" t="s">
        <v>25</v>
      </c>
      <c r="B274" t="s">
        <v>7</v>
      </c>
      <c r="C274" t="s">
        <v>44</v>
      </c>
      <c r="D274" s="1">
        <v>44747</v>
      </c>
      <c r="E274" s="1" t="str">
        <f>TEXT(Sales[[#This Row],[Date]],"mmm")</f>
        <v>Jul</v>
      </c>
      <c r="F274" s="1" t="str">
        <f t="shared" si="8"/>
        <v>2022</v>
      </c>
      <c r="G274" s="1" t="str">
        <f t="shared" si="9"/>
        <v>Tue</v>
      </c>
      <c r="H274" s="7">
        <v>1652</v>
      </c>
      <c r="I274" s="6">
        <v>72</v>
      </c>
    </row>
    <row r="275" spans="1:9" x14ac:dyDescent="0.25">
      <c r="A275" t="s">
        <v>34</v>
      </c>
      <c r="B275" t="s">
        <v>29</v>
      </c>
      <c r="C275" t="s">
        <v>56</v>
      </c>
      <c r="D275" s="1">
        <v>44572</v>
      </c>
      <c r="E275" s="1" t="str">
        <f>TEXT(Sales[[#This Row],[Date]],"mmm")</f>
        <v>Jan</v>
      </c>
      <c r="F275" s="1" t="str">
        <f t="shared" si="8"/>
        <v>2022</v>
      </c>
      <c r="G275" s="1" t="str">
        <f t="shared" si="9"/>
        <v>Tue</v>
      </c>
      <c r="H275" s="7">
        <v>13447</v>
      </c>
      <c r="I275" s="6">
        <v>95</v>
      </c>
    </row>
    <row r="276" spans="1:9" x14ac:dyDescent="0.25">
      <c r="A276" t="s">
        <v>49</v>
      </c>
      <c r="B276" t="s">
        <v>26</v>
      </c>
      <c r="C276" t="s">
        <v>44</v>
      </c>
      <c r="D276" s="1">
        <v>44627</v>
      </c>
      <c r="E276" s="1" t="str">
        <f>TEXT(Sales[[#This Row],[Date]],"mmm")</f>
        <v>Mar</v>
      </c>
      <c r="F276" s="1" t="str">
        <f t="shared" si="8"/>
        <v>2022</v>
      </c>
      <c r="G276" s="1" t="str">
        <f t="shared" si="9"/>
        <v>Mon</v>
      </c>
      <c r="H276" s="7">
        <v>9422</v>
      </c>
      <c r="I276" s="6">
        <v>22</v>
      </c>
    </row>
    <row r="277" spans="1:9" x14ac:dyDescent="0.25">
      <c r="A277" t="s">
        <v>41</v>
      </c>
      <c r="B277" t="s">
        <v>29</v>
      </c>
      <c r="C277" t="s">
        <v>22</v>
      </c>
      <c r="D277" s="1">
        <v>44624</v>
      </c>
      <c r="E277" s="1" t="str">
        <f>TEXT(Sales[[#This Row],[Date]],"mmm")</f>
        <v>Mar</v>
      </c>
      <c r="F277" s="1" t="str">
        <f t="shared" si="8"/>
        <v>2022</v>
      </c>
      <c r="G277" s="1" t="str">
        <f t="shared" si="9"/>
        <v>Fri</v>
      </c>
      <c r="H277" s="7">
        <v>8687</v>
      </c>
      <c r="I277" s="6">
        <v>100</v>
      </c>
    </row>
    <row r="278" spans="1:9" x14ac:dyDescent="0.25">
      <c r="A278" t="s">
        <v>31</v>
      </c>
      <c r="B278" t="s">
        <v>29</v>
      </c>
      <c r="C278" t="s">
        <v>35</v>
      </c>
      <c r="D278" s="1">
        <v>44757</v>
      </c>
      <c r="E278" s="1" t="str">
        <f>TEXT(Sales[[#This Row],[Date]],"mmm")</f>
        <v>Jul</v>
      </c>
      <c r="F278" s="1" t="str">
        <f t="shared" si="8"/>
        <v>2022</v>
      </c>
      <c r="G278" s="1" t="str">
        <f t="shared" si="9"/>
        <v>Fri</v>
      </c>
      <c r="H278" s="7">
        <v>2415</v>
      </c>
      <c r="I278" s="6">
        <v>312</v>
      </c>
    </row>
    <row r="279" spans="1:9" x14ac:dyDescent="0.25">
      <c r="A279" t="s">
        <v>41</v>
      </c>
      <c r="B279" t="s">
        <v>7</v>
      </c>
      <c r="C279" t="s">
        <v>13</v>
      </c>
      <c r="D279" s="1">
        <v>44692</v>
      </c>
      <c r="E279" s="1" t="str">
        <f>TEXT(Sales[[#This Row],[Date]],"mmm")</f>
        <v>May</v>
      </c>
      <c r="F279" s="1" t="str">
        <f t="shared" si="8"/>
        <v>2022</v>
      </c>
      <c r="G279" s="1" t="str">
        <f t="shared" si="9"/>
        <v>Wed</v>
      </c>
      <c r="H279" s="7">
        <v>6272</v>
      </c>
      <c r="I279" s="6">
        <v>86</v>
      </c>
    </row>
    <row r="280" spans="1:9" x14ac:dyDescent="0.25">
      <c r="A280" t="s">
        <v>31</v>
      </c>
      <c r="B280" t="s">
        <v>26</v>
      </c>
      <c r="C280" t="s">
        <v>37</v>
      </c>
      <c r="D280" s="1">
        <v>44588</v>
      </c>
      <c r="E280" s="1" t="str">
        <f>TEXT(Sales[[#This Row],[Date]],"mmm")</f>
        <v>Jan</v>
      </c>
      <c r="F280" s="1" t="str">
        <f t="shared" si="8"/>
        <v>2022</v>
      </c>
      <c r="G280" s="1" t="str">
        <f t="shared" si="9"/>
        <v>Thu</v>
      </c>
      <c r="H280" s="7">
        <v>4389</v>
      </c>
      <c r="I280" s="6">
        <v>7</v>
      </c>
    </row>
    <row r="281" spans="1:9" x14ac:dyDescent="0.25">
      <c r="A281" t="s">
        <v>31</v>
      </c>
      <c r="B281" t="s">
        <v>10</v>
      </c>
      <c r="C281" t="s">
        <v>27</v>
      </c>
      <c r="D281" s="1">
        <v>44739</v>
      </c>
      <c r="E281" s="1" t="str">
        <f>TEXT(Sales[[#This Row],[Date]],"mmm")</f>
        <v>Jun</v>
      </c>
      <c r="F281" s="1" t="str">
        <f t="shared" si="8"/>
        <v>2022</v>
      </c>
      <c r="G281" s="1" t="str">
        <f t="shared" si="9"/>
        <v>Mon</v>
      </c>
      <c r="H281" s="7">
        <v>3122</v>
      </c>
      <c r="I281" s="6">
        <v>149</v>
      </c>
    </row>
    <row r="282" spans="1:9" x14ac:dyDescent="0.25">
      <c r="A282" t="s">
        <v>55</v>
      </c>
      <c r="B282" t="s">
        <v>10</v>
      </c>
      <c r="C282" t="s">
        <v>16</v>
      </c>
      <c r="D282" s="1">
        <v>44776</v>
      </c>
      <c r="E282" s="1" t="str">
        <f>TEXT(Sales[[#This Row],[Date]],"mmm")</f>
        <v>Aug</v>
      </c>
      <c r="F282" s="1" t="str">
        <f t="shared" si="8"/>
        <v>2022</v>
      </c>
      <c r="G282" s="1" t="str">
        <f t="shared" si="9"/>
        <v>Wed</v>
      </c>
      <c r="H282" s="7">
        <v>8043</v>
      </c>
      <c r="I282" s="6">
        <v>18</v>
      </c>
    </row>
    <row r="283" spans="1:9" x14ac:dyDescent="0.25">
      <c r="A283" t="s">
        <v>46</v>
      </c>
      <c r="B283" t="s">
        <v>21</v>
      </c>
      <c r="C283" t="s">
        <v>8</v>
      </c>
      <c r="D283" s="1">
        <v>44792</v>
      </c>
      <c r="E283" s="1" t="str">
        <f>TEXT(Sales[[#This Row],[Date]],"mmm")</f>
        <v>Aug</v>
      </c>
      <c r="F283" s="1" t="str">
        <f t="shared" si="8"/>
        <v>2022</v>
      </c>
      <c r="G283" s="1" t="str">
        <f t="shared" si="9"/>
        <v>Fri</v>
      </c>
      <c r="H283" s="7">
        <v>11662</v>
      </c>
      <c r="I283" s="6">
        <v>242</v>
      </c>
    </row>
    <row r="284" spans="1:9" x14ac:dyDescent="0.25">
      <c r="A284" t="s">
        <v>46</v>
      </c>
      <c r="B284" t="s">
        <v>15</v>
      </c>
      <c r="C284" t="s">
        <v>42</v>
      </c>
      <c r="D284" s="1">
        <v>44727</v>
      </c>
      <c r="E284" s="1" t="str">
        <f>TEXT(Sales[[#This Row],[Date]],"mmm")</f>
        <v>Jun</v>
      </c>
      <c r="F284" s="1" t="str">
        <f t="shared" si="8"/>
        <v>2022</v>
      </c>
      <c r="G284" s="1" t="str">
        <f t="shared" si="9"/>
        <v>Wed</v>
      </c>
      <c r="H284" s="7">
        <v>392</v>
      </c>
      <c r="I284" s="6">
        <v>102</v>
      </c>
    </row>
    <row r="285" spans="1:9" x14ac:dyDescent="0.25">
      <c r="A285" t="s">
        <v>43</v>
      </c>
      <c r="B285" t="s">
        <v>7</v>
      </c>
      <c r="C285" t="s">
        <v>13</v>
      </c>
      <c r="D285" s="1">
        <v>44599</v>
      </c>
      <c r="E285" s="1" t="str">
        <f>TEXT(Sales[[#This Row],[Date]],"mmm")</f>
        <v>Feb</v>
      </c>
      <c r="F285" s="1" t="str">
        <f t="shared" si="8"/>
        <v>2022</v>
      </c>
      <c r="G285" s="1" t="str">
        <f t="shared" si="9"/>
        <v>Mon</v>
      </c>
      <c r="H285" s="7">
        <v>8925</v>
      </c>
      <c r="I285" s="6">
        <v>158</v>
      </c>
    </row>
    <row r="286" spans="1:9" x14ac:dyDescent="0.25">
      <c r="A286" t="s">
        <v>31</v>
      </c>
      <c r="B286" t="s">
        <v>15</v>
      </c>
      <c r="C286" t="s">
        <v>47</v>
      </c>
      <c r="D286" s="1">
        <v>44750</v>
      </c>
      <c r="E286" s="1" t="str">
        <f>TEXT(Sales[[#This Row],[Date]],"mmm")</f>
        <v>Jul</v>
      </c>
      <c r="F286" s="1" t="str">
        <f t="shared" si="8"/>
        <v>2022</v>
      </c>
      <c r="G286" s="1" t="str">
        <f t="shared" si="9"/>
        <v>Fri</v>
      </c>
      <c r="H286" s="7">
        <v>7294</v>
      </c>
      <c r="I286" s="6">
        <v>128</v>
      </c>
    </row>
    <row r="287" spans="1:9" x14ac:dyDescent="0.25">
      <c r="A287" t="s">
        <v>43</v>
      </c>
      <c r="B287" t="s">
        <v>10</v>
      </c>
      <c r="C287" t="s">
        <v>37</v>
      </c>
      <c r="D287" s="1">
        <v>44672</v>
      </c>
      <c r="E287" s="1" t="str">
        <f>TEXT(Sales[[#This Row],[Date]],"mmm")</f>
        <v>Apr</v>
      </c>
      <c r="F287" s="1" t="str">
        <f t="shared" si="8"/>
        <v>2022</v>
      </c>
      <c r="G287" s="1" t="str">
        <f t="shared" si="9"/>
        <v>Thu</v>
      </c>
      <c r="H287" s="7">
        <v>1526</v>
      </c>
      <c r="I287" s="6">
        <v>96</v>
      </c>
    </row>
    <row r="288" spans="1:9" x14ac:dyDescent="0.25">
      <c r="A288" t="s">
        <v>55</v>
      </c>
      <c r="B288" t="s">
        <v>7</v>
      </c>
      <c r="C288" t="s">
        <v>8</v>
      </c>
      <c r="D288" s="1">
        <v>44659</v>
      </c>
      <c r="E288" s="1" t="str">
        <f>TEXT(Sales[[#This Row],[Date]],"mmm")</f>
        <v>Apr</v>
      </c>
      <c r="F288" s="1" t="str">
        <f t="shared" si="8"/>
        <v>2022</v>
      </c>
      <c r="G288" s="1" t="str">
        <f t="shared" si="9"/>
        <v>Fri</v>
      </c>
      <c r="H288" s="7">
        <v>2688</v>
      </c>
      <c r="I288" s="6">
        <v>209</v>
      </c>
    </row>
    <row r="289" spans="1:9" x14ac:dyDescent="0.25">
      <c r="A289" t="s">
        <v>40</v>
      </c>
      <c r="B289" t="s">
        <v>15</v>
      </c>
      <c r="C289" t="s">
        <v>22</v>
      </c>
      <c r="D289" s="1">
        <v>44792</v>
      </c>
      <c r="E289" s="1" t="str">
        <f>TEXT(Sales[[#This Row],[Date]],"mmm")</f>
        <v>Aug</v>
      </c>
      <c r="F289" s="1" t="str">
        <f t="shared" si="8"/>
        <v>2022</v>
      </c>
      <c r="G289" s="1" t="str">
        <f t="shared" si="9"/>
        <v>Fri</v>
      </c>
      <c r="H289" s="7">
        <v>14889</v>
      </c>
      <c r="I289" s="6">
        <v>52</v>
      </c>
    </row>
    <row r="290" spans="1:9" x14ac:dyDescent="0.25">
      <c r="A290" t="s">
        <v>14</v>
      </c>
      <c r="B290" t="s">
        <v>10</v>
      </c>
      <c r="C290" t="s">
        <v>42</v>
      </c>
      <c r="D290" s="1">
        <v>44685</v>
      </c>
      <c r="E290" s="1" t="str">
        <f>TEXT(Sales[[#This Row],[Date]],"mmm")</f>
        <v>May</v>
      </c>
      <c r="F290" s="1" t="str">
        <f t="shared" si="8"/>
        <v>2022</v>
      </c>
      <c r="G290" s="1" t="str">
        <f t="shared" si="9"/>
        <v>Wed</v>
      </c>
      <c r="H290" s="7">
        <v>2912</v>
      </c>
      <c r="I290" s="6">
        <v>55</v>
      </c>
    </row>
    <row r="291" spans="1:9" x14ac:dyDescent="0.25">
      <c r="A291" t="s">
        <v>28</v>
      </c>
      <c r="B291" t="s">
        <v>26</v>
      </c>
      <c r="C291" t="s">
        <v>11</v>
      </c>
      <c r="D291" s="1">
        <v>44692</v>
      </c>
      <c r="E291" s="1" t="str">
        <f>TEXT(Sales[[#This Row],[Date]],"mmm")</f>
        <v>May</v>
      </c>
      <c r="F291" s="1" t="str">
        <f t="shared" si="8"/>
        <v>2022</v>
      </c>
      <c r="G291" s="1" t="str">
        <f t="shared" si="9"/>
        <v>Wed</v>
      </c>
      <c r="H291" s="7">
        <v>2632</v>
      </c>
      <c r="I291" s="6">
        <v>108</v>
      </c>
    </row>
    <row r="292" spans="1:9" x14ac:dyDescent="0.25">
      <c r="A292" t="s">
        <v>28</v>
      </c>
      <c r="B292" t="s">
        <v>26</v>
      </c>
      <c r="C292" t="s">
        <v>30</v>
      </c>
      <c r="D292" s="1">
        <v>44642</v>
      </c>
      <c r="E292" s="1" t="str">
        <f>TEXT(Sales[[#This Row],[Date]],"mmm")</f>
        <v>Mar</v>
      </c>
      <c r="F292" s="1" t="str">
        <f t="shared" si="8"/>
        <v>2022</v>
      </c>
      <c r="G292" s="1" t="str">
        <f t="shared" si="9"/>
        <v>Tue</v>
      </c>
      <c r="H292" s="7">
        <v>6328</v>
      </c>
      <c r="I292" s="6">
        <v>51</v>
      </c>
    </row>
    <row r="293" spans="1:9" x14ac:dyDescent="0.25">
      <c r="A293" t="s">
        <v>43</v>
      </c>
      <c r="B293" t="s">
        <v>29</v>
      </c>
      <c r="C293" t="s">
        <v>39</v>
      </c>
      <c r="D293" s="1">
        <v>44783</v>
      </c>
      <c r="E293" s="1" t="str">
        <f>TEXT(Sales[[#This Row],[Date]],"mmm")</f>
        <v>Aug</v>
      </c>
      <c r="F293" s="1" t="str">
        <f t="shared" si="8"/>
        <v>2022</v>
      </c>
      <c r="G293" s="1" t="str">
        <f t="shared" si="9"/>
        <v>Wed</v>
      </c>
      <c r="H293" s="7">
        <v>2527</v>
      </c>
      <c r="I293" s="6">
        <v>216</v>
      </c>
    </row>
    <row r="294" spans="1:9" x14ac:dyDescent="0.25">
      <c r="A294" t="s">
        <v>43</v>
      </c>
      <c r="B294" t="s">
        <v>26</v>
      </c>
      <c r="C294" t="s">
        <v>42</v>
      </c>
      <c r="D294" s="1">
        <v>44685</v>
      </c>
      <c r="E294" s="1" t="str">
        <f>TEXT(Sales[[#This Row],[Date]],"mmm")</f>
        <v>May</v>
      </c>
      <c r="F294" s="1" t="str">
        <f t="shared" si="8"/>
        <v>2022</v>
      </c>
      <c r="G294" s="1" t="str">
        <f t="shared" si="9"/>
        <v>Wed</v>
      </c>
      <c r="H294" s="7">
        <v>1414</v>
      </c>
      <c r="I294" s="6">
        <v>318</v>
      </c>
    </row>
    <row r="295" spans="1:9" x14ac:dyDescent="0.25">
      <c r="A295" t="s">
        <v>49</v>
      </c>
      <c r="B295" t="s">
        <v>26</v>
      </c>
      <c r="C295" t="s">
        <v>18</v>
      </c>
      <c r="D295" s="1">
        <v>44791</v>
      </c>
      <c r="E295" s="1" t="str">
        <f>TEXT(Sales[[#This Row],[Date]],"mmm")</f>
        <v>Aug</v>
      </c>
      <c r="F295" s="1" t="str">
        <f t="shared" si="8"/>
        <v>2022</v>
      </c>
      <c r="G295" s="1" t="str">
        <f t="shared" si="9"/>
        <v>Thu</v>
      </c>
      <c r="H295" s="7">
        <v>7714</v>
      </c>
      <c r="I295" s="6">
        <v>238</v>
      </c>
    </row>
    <row r="296" spans="1:9" x14ac:dyDescent="0.25">
      <c r="A296" t="s">
        <v>54</v>
      </c>
      <c r="B296" t="s">
        <v>29</v>
      </c>
      <c r="C296" t="s">
        <v>51</v>
      </c>
      <c r="D296" s="1">
        <v>44776</v>
      </c>
      <c r="E296" s="1" t="str">
        <f>TEXT(Sales[[#This Row],[Date]],"mmm")</f>
        <v>Aug</v>
      </c>
      <c r="F296" s="1" t="str">
        <f t="shared" si="8"/>
        <v>2022</v>
      </c>
      <c r="G296" s="1" t="str">
        <f t="shared" si="9"/>
        <v>Wed</v>
      </c>
      <c r="H296" s="7">
        <v>4347</v>
      </c>
      <c r="I296" s="6">
        <v>238</v>
      </c>
    </row>
    <row r="297" spans="1:9" x14ac:dyDescent="0.25">
      <c r="A297" t="s">
        <v>33</v>
      </c>
      <c r="B297" t="s">
        <v>21</v>
      </c>
      <c r="C297" t="s">
        <v>37</v>
      </c>
      <c r="D297" s="1">
        <v>44575</v>
      </c>
      <c r="E297" s="1" t="str">
        <f>TEXT(Sales[[#This Row],[Date]],"mmm")</f>
        <v>Jan</v>
      </c>
      <c r="F297" s="1" t="str">
        <f t="shared" si="8"/>
        <v>2022</v>
      </c>
      <c r="G297" s="1" t="str">
        <f t="shared" si="9"/>
        <v>Fri</v>
      </c>
      <c r="H297" s="7">
        <v>7490</v>
      </c>
      <c r="I297" s="6">
        <v>315</v>
      </c>
    </row>
    <row r="298" spans="1:9" x14ac:dyDescent="0.25">
      <c r="A298" t="s">
        <v>53</v>
      </c>
      <c r="B298" t="s">
        <v>15</v>
      </c>
      <c r="C298" t="s">
        <v>52</v>
      </c>
      <c r="D298" s="1">
        <v>44659</v>
      </c>
      <c r="E298" s="1" t="str">
        <f>TEXT(Sales[[#This Row],[Date]],"mmm")</f>
        <v>Apr</v>
      </c>
      <c r="F298" s="1" t="str">
        <f t="shared" si="8"/>
        <v>2022</v>
      </c>
      <c r="G298" s="1" t="str">
        <f t="shared" si="9"/>
        <v>Fri</v>
      </c>
      <c r="H298" s="7">
        <v>2058</v>
      </c>
      <c r="I298" s="6">
        <v>72</v>
      </c>
    </row>
    <row r="299" spans="1:9" x14ac:dyDescent="0.25">
      <c r="A299" t="s">
        <v>49</v>
      </c>
      <c r="B299" t="s">
        <v>7</v>
      </c>
      <c r="C299" t="s">
        <v>27</v>
      </c>
      <c r="D299" s="1">
        <v>44774</v>
      </c>
      <c r="E299" s="1" t="str">
        <f>TEXT(Sales[[#This Row],[Date]],"mmm")</f>
        <v>Aug</v>
      </c>
      <c r="F299" s="1" t="str">
        <f t="shared" si="8"/>
        <v>2022</v>
      </c>
      <c r="G299" s="1" t="str">
        <f t="shared" si="9"/>
        <v>Mon</v>
      </c>
      <c r="H299" s="7">
        <v>3640</v>
      </c>
      <c r="I299" s="6">
        <v>3</v>
      </c>
    </row>
    <row r="300" spans="1:9" x14ac:dyDescent="0.25">
      <c r="A300" t="s">
        <v>43</v>
      </c>
      <c r="B300" t="s">
        <v>29</v>
      </c>
      <c r="C300" t="s">
        <v>30</v>
      </c>
      <c r="D300" s="1">
        <v>44635</v>
      </c>
      <c r="E300" s="1" t="str">
        <f>TEXT(Sales[[#This Row],[Date]],"mmm")</f>
        <v>Mar</v>
      </c>
      <c r="F300" s="1" t="str">
        <f t="shared" si="8"/>
        <v>2022</v>
      </c>
      <c r="G300" s="1" t="str">
        <f t="shared" si="9"/>
        <v>Tue</v>
      </c>
      <c r="H300" s="7">
        <v>455</v>
      </c>
      <c r="I300" s="6">
        <v>45</v>
      </c>
    </row>
    <row r="301" spans="1:9" x14ac:dyDescent="0.25">
      <c r="A301" t="s">
        <v>31</v>
      </c>
      <c r="B301" t="s">
        <v>10</v>
      </c>
      <c r="C301" t="s">
        <v>8</v>
      </c>
      <c r="D301" s="1">
        <v>44757</v>
      </c>
      <c r="E301" s="1" t="str">
        <f>TEXT(Sales[[#This Row],[Date]],"mmm")</f>
        <v>Jul</v>
      </c>
      <c r="F301" s="1" t="str">
        <f t="shared" si="8"/>
        <v>2022</v>
      </c>
      <c r="G301" s="1" t="str">
        <f t="shared" si="9"/>
        <v>Fri</v>
      </c>
      <c r="H301" s="7">
        <v>10990</v>
      </c>
      <c r="I301" s="6">
        <v>184</v>
      </c>
    </row>
    <row r="302" spans="1:9" x14ac:dyDescent="0.25">
      <c r="A302" t="s">
        <v>25</v>
      </c>
      <c r="B302" t="s">
        <v>21</v>
      </c>
      <c r="C302" t="s">
        <v>47</v>
      </c>
      <c r="D302" s="1">
        <v>44574</v>
      </c>
      <c r="E302" s="1" t="str">
        <f>TEXT(Sales[[#This Row],[Date]],"mmm")</f>
        <v>Jan</v>
      </c>
      <c r="F302" s="1" t="str">
        <f t="shared" si="8"/>
        <v>2022</v>
      </c>
      <c r="G302" s="1" t="str">
        <f t="shared" si="9"/>
        <v>Thu</v>
      </c>
      <c r="H302" s="7">
        <v>5558</v>
      </c>
      <c r="I302" s="6">
        <v>127</v>
      </c>
    </row>
    <row r="303" spans="1:9" x14ac:dyDescent="0.25">
      <c r="A303" t="s">
        <v>28</v>
      </c>
      <c r="B303" t="s">
        <v>15</v>
      </c>
      <c r="C303" t="s">
        <v>11</v>
      </c>
      <c r="D303" s="1">
        <v>44799</v>
      </c>
      <c r="E303" s="1" t="str">
        <f>TEXT(Sales[[#This Row],[Date]],"mmm")</f>
        <v>Aug</v>
      </c>
      <c r="F303" s="1" t="str">
        <f t="shared" si="8"/>
        <v>2022</v>
      </c>
      <c r="G303" s="1" t="str">
        <f t="shared" si="9"/>
        <v>Fri</v>
      </c>
      <c r="H303" s="7">
        <v>2541</v>
      </c>
      <c r="I303" s="6">
        <v>53</v>
      </c>
    </row>
    <row r="304" spans="1:9" x14ac:dyDescent="0.25">
      <c r="A304" t="s">
        <v>55</v>
      </c>
      <c r="B304" t="s">
        <v>29</v>
      </c>
      <c r="C304" t="s">
        <v>30</v>
      </c>
      <c r="D304" s="1">
        <v>44571</v>
      </c>
      <c r="E304" s="1" t="str">
        <f>TEXT(Sales[[#This Row],[Date]],"mmm")</f>
        <v>Jan</v>
      </c>
      <c r="F304" s="1" t="str">
        <f t="shared" si="8"/>
        <v>2022</v>
      </c>
      <c r="G304" s="1" t="str">
        <f t="shared" si="9"/>
        <v>Mon</v>
      </c>
      <c r="H304" s="7">
        <v>1876</v>
      </c>
      <c r="I304" s="6">
        <v>172</v>
      </c>
    </row>
    <row r="305" spans="1:9" x14ac:dyDescent="0.25">
      <c r="A305" t="s">
        <v>12</v>
      </c>
      <c r="B305" t="s">
        <v>15</v>
      </c>
      <c r="C305" t="s">
        <v>44</v>
      </c>
      <c r="D305" s="1">
        <v>44692</v>
      </c>
      <c r="E305" s="1" t="str">
        <f>TEXT(Sales[[#This Row],[Date]],"mmm")</f>
        <v>May</v>
      </c>
      <c r="F305" s="1" t="str">
        <f t="shared" si="8"/>
        <v>2022</v>
      </c>
      <c r="G305" s="1" t="str">
        <f t="shared" si="9"/>
        <v>Wed</v>
      </c>
      <c r="H305" s="7">
        <v>5523</v>
      </c>
      <c r="I305" s="6">
        <v>87</v>
      </c>
    </row>
    <row r="306" spans="1:9" x14ac:dyDescent="0.25">
      <c r="A306" t="s">
        <v>34</v>
      </c>
      <c r="B306" t="s">
        <v>21</v>
      </c>
      <c r="C306" t="s">
        <v>11</v>
      </c>
      <c r="D306" s="1">
        <v>44803</v>
      </c>
      <c r="E306" s="1" t="str">
        <f>TEXT(Sales[[#This Row],[Date]],"mmm")</f>
        <v>Aug</v>
      </c>
      <c r="F306" s="1" t="str">
        <f t="shared" si="8"/>
        <v>2022</v>
      </c>
      <c r="G306" s="1" t="str">
        <f t="shared" si="9"/>
        <v>Tue</v>
      </c>
      <c r="H306" s="7">
        <v>11200</v>
      </c>
      <c r="I306" s="6">
        <v>22</v>
      </c>
    </row>
    <row r="307" spans="1:9" x14ac:dyDescent="0.25">
      <c r="A307" t="s">
        <v>41</v>
      </c>
      <c r="B307" t="s">
        <v>26</v>
      </c>
      <c r="C307" t="s">
        <v>57</v>
      </c>
      <c r="D307" s="1">
        <v>44763</v>
      </c>
      <c r="E307" s="1" t="str">
        <f>TEXT(Sales[[#This Row],[Date]],"mmm")</f>
        <v>Jul</v>
      </c>
      <c r="F307" s="1" t="str">
        <f t="shared" si="8"/>
        <v>2022</v>
      </c>
      <c r="G307" s="1" t="str">
        <f t="shared" si="9"/>
        <v>Thu</v>
      </c>
      <c r="H307" s="7">
        <v>5593</v>
      </c>
      <c r="I307" s="6">
        <v>122</v>
      </c>
    </row>
    <row r="308" spans="1:9" x14ac:dyDescent="0.25">
      <c r="A308" t="s">
        <v>28</v>
      </c>
      <c r="B308" t="s">
        <v>15</v>
      </c>
      <c r="C308" t="s">
        <v>47</v>
      </c>
      <c r="D308" s="1">
        <v>44774</v>
      </c>
      <c r="E308" s="1" t="str">
        <f>TEXT(Sales[[#This Row],[Date]],"mmm")</f>
        <v>Aug</v>
      </c>
      <c r="F308" s="1" t="str">
        <f t="shared" si="8"/>
        <v>2022</v>
      </c>
      <c r="G308" s="1" t="str">
        <f t="shared" si="9"/>
        <v>Mon</v>
      </c>
      <c r="H308" s="7">
        <v>7882</v>
      </c>
      <c r="I308" s="6">
        <v>125</v>
      </c>
    </row>
    <row r="309" spans="1:9" x14ac:dyDescent="0.25">
      <c r="A309" t="s">
        <v>23</v>
      </c>
      <c r="B309" t="s">
        <v>29</v>
      </c>
      <c r="C309" t="s">
        <v>11</v>
      </c>
      <c r="D309" s="1">
        <v>44609</v>
      </c>
      <c r="E309" s="1" t="str">
        <f>TEXT(Sales[[#This Row],[Date]],"mmm")</f>
        <v>Feb</v>
      </c>
      <c r="F309" s="1" t="str">
        <f t="shared" si="8"/>
        <v>2022</v>
      </c>
      <c r="G309" s="1" t="str">
        <f t="shared" si="9"/>
        <v>Thu</v>
      </c>
      <c r="H309" s="7">
        <v>10241</v>
      </c>
      <c r="I309" s="6">
        <v>259</v>
      </c>
    </row>
    <row r="310" spans="1:9" x14ac:dyDescent="0.25">
      <c r="A310" t="s">
        <v>23</v>
      </c>
      <c r="B310" t="s">
        <v>15</v>
      </c>
      <c r="C310" t="s">
        <v>32</v>
      </c>
      <c r="D310" s="1">
        <v>44769</v>
      </c>
      <c r="E310" s="1" t="str">
        <f>TEXT(Sales[[#This Row],[Date]],"mmm")</f>
        <v>Jul</v>
      </c>
      <c r="F310" s="1" t="str">
        <f t="shared" si="8"/>
        <v>2022</v>
      </c>
      <c r="G310" s="1" t="str">
        <f t="shared" si="9"/>
        <v>Wed</v>
      </c>
      <c r="H310" s="7">
        <v>6832</v>
      </c>
      <c r="I310" s="6">
        <v>156</v>
      </c>
    </row>
    <row r="311" spans="1:9" x14ac:dyDescent="0.25">
      <c r="A311" t="s">
        <v>54</v>
      </c>
      <c r="B311" t="s">
        <v>26</v>
      </c>
      <c r="C311" t="s">
        <v>27</v>
      </c>
      <c r="D311" s="1">
        <v>44615</v>
      </c>
      <c r="E311" s="1" t="str">
        <f>TEXT(Sales[[#This Row],[Date]],"mmm")</f>
        <v>Feb</v>
      </c>
      <c r="F311" s="1" t="str">
        <f t="shared" si="8"/>
        <v>2022</v>
      </c>
      <c r="G311" s="1" t="str">
        <f t="shared" si="9"/>
        <v>Wed</v>
      </c>
      <c r="H311" s="7">
        <v>1379</v>
      </c>
      <c r="I311" s="6">
        <v>107</v>
      </c>
    </row>
    <row r="312" spans="1:9" x14ac:dyDescent="0.25">
      <c r="A312" t="s">
        <v>24</v>
      </c>
      <c r="B312" t="s">
        <v>15</v>
      </c>
      <c r="C312" t="s">
        <v>22</v>
      </c>
      <c r="D312" s="1">
        <v>44642</v>
      </c>
      <c r="E312" s="1" t="str">
        <f>TEXT(Sales[[#This Row],[Date]],"mmm")</f>
        <v>Mar</v>
      </c>
      <c r="F312" s="1" t="str">
        <f t="shared" si="8"/>
        <v>2022</v>
      </c>
      <c r="G312" s="1" t="str">
        <f t="shared" si="9"/>
        <v>Tue</v>
      </c>
      <c r="H312" s="7">
        <v>3010</v>
      </c>
      <c r="I312" s="6">
        <v>40</v>
      </c>
    </row>
    <row r="313" spans="1:9" x14ac:dyDescent="0.25">
      <c r="A313" t="s">
        <v>43</v>
      </c>
      <c r="B313" t="s">
        <v>10</v>
      </c>
      <c r="C313" t="s">
        <v>18</v>
      </c>
      <c r="D313" s="1">
        <v>44735</v>
      </c>
      <c r="E313" s="1" t="str">
        <f>TEXT(Sales[[#This Row],[Date]],"mmm")</f>
        <v>Jun</v>
      </c>
      <c r="F313" s="1" t="str">
        <f t="shared" si="8"/>
        <v>2022</v>
      </c>
      <c r="G313" s="1" t="str">
        <f t="shared" si="9"/>
        <v>Thu</v>
      </c>
      <c r="H313" s="7">
        <v>6888</v>
      </c>
      <c r="I313" s="6">
        <v>311</v>
      </c>
    </row>
    <row r="314" spans="1:9" x14ac:dyDescent="0.25">
      <c r="A314" t="s">
        <v>38</v>
      </c>
      <c r="B314" t="s">
        <v>7</v>
      </c>
      <c r="C314" t="s">
        <v>44</v>
      </c>
      <c r="D314" s="1">
        <v>44593</v>
      </c>
      <c r="E314" s="1" t="str">
        <f>TEXT(Sales[[#This Row],[Date]],"mmm")</f>
        <v>Feb</v>
      </c>
      <c r="F314" s="1" t="str">
        <f t="shared" si="8"/>
        <v>2022</v>
      </c>
      <c r="G314" s="1" t="str">
        <f t="shared" si="9"/>
        <v>Tue</v>
      </c>
      <c r="H314" s="7">
        <v>1540</v>
      </c>
      <c r="I314" s="6">
        <v>73</v>
      </c>
    </row>
    <row r="315" spans="1:9" x14ac:dyDescent="0.25">
      <c r="A315" t="s">
        <v>49</v>
      </c>
      <c r="B315" t="s">
        <v>15</v>
      </c>
      <c r="C315" t="s">
        <v>20</v>
      </c>
      <c r="D315" s="1">
        <v>44622</v>
      </c>
      <c r="E315" s="1" t="str">
        <f>TEXT(Sales[[#This Row],[Date]],"mmm")</f>
        <v>Mar</v>
      </c>
      <c r="F315" s="1" t="str">
        <f t="shared" si="8"/>
        <v>2022</v>
      </c>
      <c r="G315" s="1" t="str">
        <f t="shared" si="9"/>
        <v>Wed</v>
      </c>
      <c r="H315" s="7">
        <v>6916</v>
      </c>
      <c r="I315" s="6">
        <v>288</v>
      </c>
    </row>
    <row r="316" spans="1:9" x14ac:dyDescent="0.25">
      <c r="A316" t="s">
        <v>12</v>
      </c>
      <c r="B316" t="s">
        <v>7</v>
      </c>
      <c r="C316" t="s">
        <v>42</v>
      </c>
      <c r="D316" s="1">
        <v>44657</v>
      </c>
      <c r="E316" s="1" t="str">
        <f>TEXT(Sales[[#This Row],[Date]],"mmm")</f>
        <v>Apr</v>
      </c>
      <c r="F316" s="1" t="str">
        <f t="shared" si="8"/>
        <v>2022</v>
      </c>
      <c r="G316" s="1" t="str">
        <f t="shared" si="9"/>
        <v>Wed</v>
      </c>
      <c r="H316" s="7">
        <v>1232</v>
      </c>
      <c r="I316" s="6">
        <v>86</v>
      </c>
    </row>
    <row r="317" spans="1:9" x14ac:dyDescent="0.25">
      <c r="A317" t="s">
        <v>19</v>
      </c>
      <c r="B317" t="s">
        <v>15</v>
      </c>
      <c r="C317" t="s">
        <v>51</v>
      </c>
      <c r="D317" s="1">
        <v>44637</v>
      </c>
      <c r="E317" s="1" t="str">
        <f>TEXT(Sales[[#This Row],[Date]],"mmm")</f>
        <v>Mar</v>
      </c>
      <c r="F317" s="1" t="str">
        <f t="shared" si="8"/>
        <v>2022</v>
      </c>
      <c r="G317" s="1" t="str">
        <f t="shared" si="9"/>
        <v>Thu</v>
      </c>
      <c r="H317" s="7">
        <v>602</v>
      </c>
      <c r="I317" s="6">
        <v>72</v>
      </c>
    </row>
    <row r="318" spans="1:9" x14ac:dyDescent="0.25">
      <c r="A318" t="s">
        <v>38</v>
      </c>
      <c r="B318" t="s">
        <v>7</v>
      </c>
      <c r="C318" t="s">
        <v>42</v>
      </c>
      <c r="D318" s="1">
        <v>44736</v>
      </c>
      <c r="E318" s="1" t="str">
        <f>TEXT(Sales[[#This Row],[Date]],"mmm")</f>
        <v>Jun</v>
      </c>
      <c r="F318" s="1" t="str">
        <f t="shared" si="8"/>
        <v>2022</v>
      </c>
      <c r="G318" s="1" t="str">
        <f t="shared" si="9"/>
        <v>Fri</v>
      </c>
      <c r="H318" s="7">
        <v>10927</v>
      </c>
      <c r="I318" s="6">
        <v>136</v>
      </c>
    </row>
    <row r="319" spans="1:9" x14ac:dyDescent="0.25">
      <c r="A319" t="s">
        <v>25</v>
      </c>
      <c r="B319" t="s">
        <v>29</v>
      </c>
      <c r="C319" t="s">
        <v>22</v>
      </c>
      <c r="D319" s="1">
        <v>44761</v>
      </c>
      <c r="E319" s="1" t="str">
        <f>TEXT(Sales[[#This Row],[Date]],"mmm")</f>
        <v>Jul</v>
      </c>
      <c r="F319" s="1" t="str">
        <f t="shared" si="8"/>
        <v>2022</v>
      </c>
      <c r="G319" s="1" t="str">
        <f t="shared" si="9"/>
        <v>Tue</v>
      </c>
      <c r="H319" s="7">
        <v>10185</v>
      </c>
      <c r="I319" s="6">
        <v>303</v>
      </c>
    </row>
    <row r="320" spans="1:9" x14ac:dyDescent="0.25">
      <c r="A320" t="s">
        <v>38</v>
      </c>
      <c r="B320" t="s">
        <v>26</v>
      </c>
      <c r="C320" t="s">
        <v>39</v>
      </c>
      <c r="D320" s="1">
        <v>44753</v>
      </c>
      <c r="E320" s="1" t="str">
        <f>TEXT(Sales[[#This Row],[Date]],"mmm")</f>
        <v>Jul</v>
      </c>
      <c r="F320" s="1" t="str">
        <f t="shared" si="8"/>
        <v>2022</v>
      </c>
      <c r="G320" s="1" t="str">
        <f t="shared" si="9"/>
        <v>Mon</v>
      </c>
      <c r="H320" s="7">
        <v>1603</v>
      </c>
      <c r="I320" s="6">
        <v>264</v>
      </c>
    </row>
    <row r="321" spans="1:9" x14ac:dyDescent="0.25">
      <c r="A321" t="s">
        <v>23</v>
      </c>
      <c r="B321" t="s">
        <v>10</v>
      </c>
      <c r="C321" t="s">
        <v>47</v>
      </c>
      <c r="D321" s="1">
        <v>44574</v>
      </c>
      <c r="E321" s="1" t="str">
        <f>TEXT(Sales[[#This Row],[Date]],"mmm")</f>
        <v>Jan</v>
      </c>
      <c r="F321" s="1" t="str">
        <f t="shared" si="8"/>
        <v>2022</v>
      </c>
      <c r="G321" s="1" t="str">
        <f t="shared" si="9"/>
        <v>Thu</v>
      </c>
      <c r="H321" s="7">
        <v>2170</v>
      </c>
      <c r="I321" s="6">
        <v>218</v>
      </c>
    </row>
    <row r="322" spans="1:9" x14ac:dyDescent="0.25">
      <c r="A322" t="s">
        <v>17</v>
      </c>
      <c r="B322" t="s">
        <v>21</v>
      </c>
      <c r="C322" t="s">
        <v>16</v>
      </c>
      <c r="D322" s="1">
        <v>44749</v>
      </c>
      <c r="E322" s="1" t="str">
        <f>TEXT(Sales[[#This Row],[Date]],"mmm")</f>
        <v>Jul</v>
      </c>
      <c r="F322" s="1" t="str">
        <f t="shared" ref="F322:F385" si="10">TEXT(D:D,"yyyy")</f>
        <v>2022</v>
      </c>
      <c r="G322" s="1" t="str">
        <f t="shared" ref="G322:G385" si="11">TEXT(D:D,"ddd")</f>
        <v>Thu</v>
      </c>
      <c r="H322" s="7">
        <v>8673</v>
      </c>
      <c r="I322" s="6">
        <v>60</v>
      </c>
    </row>
    <row r="323" spans="1:9" x14ac:dyDescent="0.25">
      <c r="A323" t="s">
        <v>14</v>
      </c>
      <c r="B323" t="s">
        <v>10</v>
      </c>
      <c r="C323" t="s">
        <v>11</v>
      </c>
      <c r="D323" s="1">
        <v>44706</v>
      </c>
      <c r="E323" s="1" t="str">
        <f>TEXT(Sales[[#This Row],[Date]],"mmm")</f>
        <v>May</v>
      </c>
      <c r="F323" s="1" t="str">
        <f t="shared" si="10"/>
        <v>2022</v>
      </c>
      <c r="G323" s="1" t="str">
        <f t="shared" si="11"/>
        <v>Wed</v>
      </c>
      <c r="H323" s="7">
        <v>4760</v>
      </c>
      <c r="I323" s="6">
        <v>418</v>
      </c>
    </row>
    <row r="324" spans="1:9" x14ac:dyDescent="0.25">
      <c r="A324" t="s">
        <v>33</v>
      </c>
      <c r="B324" t="s">
        <v>10</v>
      </c>
      <c r="C324" t="s">
        <v>42</v>
      </c>
      <c r="D324" s="1">
        <v>44664</v>
      </c>
      <c r="E324" s="1" t="str">
        <f>TEXT(Sales[[#This Row],[Date]],"mmm")</f>
        <v>Apr</v>
      </c>
      <c r="F324" s="1" t="str">
        <f t="shared" si="10"/>
        <v>2022</v>
      </c>
      <c r="G324" s="1" t="str">
        <f t="shared" si="11"/>
        <v>Wed</v>
      </c>
      <c r="H324" s="7">
        <v>4753</v>
      </c>
      <c r="I324" s="6">
        <v>151</v>
      </c>
    </row>
    <row r="325" spans="1:9" x14ac:dyDescent="0.25">
      <c r="A325" t="s">
        <v>48</v>
      </c>
      <c r="B325" t="s">
        <v>21</v>
      </c>
      <c r="C325" t="s">
        <v>22</v>
      </c>
      <c r="D325" s="1">
        <v>44622</v>
      </c>
      <c r="E325" s="1" t="str">
        <f>TEXT(Sales[[#This Row],[Date]],"mmm")</f>
        <v>Mar</v>
      </c>
      <c r="F325" s="1" t="str">
        <f t="shared" si="10"/>
        <v>2022</v>
      </c>
      <c r="G325" s="1" t="str">
        <f t="shared" si="11"/>
        <v>Wed</v>
      </c>
      <c r="H325" s="7">
        <v>3374</v>
      </c>
      <c r="I325" s="6">
        <v>202</v>
      </c>
    </row>
    <row r="326" spans="1:9" x14ac:dyDescent="0.25">
      <c r="A326" t="s">
        <v>19</v>
      </c>
      <c r="B326" t="s">
        <v>29</v>
      </c>
      <c r="C326" t="s">
        <v>51</v>
      </c>
      <c r="D326" s="1">
        <v>44735</v>
      </c>
      <c r="E326" s="1" t="str">
        <f>TEXT(Sales[[#This Row],[Date]],"mmm")</f>
        <v>Jun</v>
      </c>
      <c r="F326" s="1" t="str">
        <f t="shared" si="10"/>
        <v>2022</v>
      </c>
      <c r="G326" s="1" t="str">
        <f t="shared" si="11"/>
        <v>Thu</v>
      </c>
      <c r="H326" s="7">
        <v>2058</v>
      </c>
      <c r="I326" s="6">
        <v>126</v>
      </c>
    </row>
    <row r="327" spans="1:9" x14ac:dyDescent="0.25">
      <c r="A327" t="s">
        <v>49</v>
      </c>
      <c r="B327" t="s">
        <v>26</v>
      </c>
      <c r="C327" t="s">
        <v>32</v>
      </c>
      <c r="D327" s="1">
        <v>44768</v>
      </c>
      <c r="E327" s="1" t="str">
        <f>TEXT(Sales[[#This Row],[Date]],"mmm")</f>
        <v>Jul</v>
      </c>
      <c r="F327" s="1" t="str">
        <f t="shared" si="10"/>
        <v>2022</v>
      </c>
      <c r="G327" s="1" t="str">
        <f t="shared" si="11"/>
        <v>Tue</v>
      </c>
      <c r="H327" s="7">
        <v>6454</v>
      </c>
      <c r="I327" s="6">
        <v>160</v>
      </c>
    </row>
    <row r="328" spans="1:9" x14ac:dyDescent="0.25">
      <c r="A328" t="s">
        <v>9</v>
      </c>
      <c r="B328" t="s">
        <v>29</v>
      </c>
      <c r="C328" t="s">
        <v>44</v>
      </c>
      <c r="D328" s="1">
        <v>44642</v>
      </c>
      <c r="E328" s="1" t="str">
        <f>TEXT(Sales[[#This Row],[Date]],"mmm")</f>
        <v>Mar</v>
      </c>
      <c r="F328" s="1" t="str">
        <f t="shared" si="10"/>
        <v>2022</v>
      </c>
      <c r="G328" s="1" t="str">
        <f t="shared" si="11"/>
        <v>Tue</v>
      </c>
      <c r="H328" s="7">
        <v>420</v>
      </c>
      <c r="I328" s="6">
        <v>3</v>
      </c>
    </row>
    <row r="329" spans="1:9" x14ac:dyDescent="0.25">
      <c r="A329" t="s">
        <v>24</v>
      </c>
      <c r="B329" t="s">
        <v>26</v>
      </c>
      <c r="C329" t="s">
        <v>56</v>
      </c>
      <c r="D329" s="1">
        <v>44721</v>
      </c>
      <c r="E329" s="1" t="str">
        <f>TEXT(Sales[[#This Row],[Date]],"mmm")</f>
        <v>Jun</v>
      </c>
      <c r="F329" s="1" t="str">
        <f t="shared" si="10"/>
        <v>2022</v>
      </c>
      <c r="G329" s="1" t="str">
        <f t="shared" si="11"/>
        <v>Thu</v>
      </c>
      <c r="H329" s="7">
        <v>2863</v>
      </c>
      <c r="I329" s="6">
        <v>58</v>
      </c>
    </row>
    <row r="330" spans="1:9" x14ac:dyDescent="0.25">
      <c r="A330" t="s">
        <v>9</v>
      </c>
      <c r="B330" t="s">
        <v>15</v>
      </c>
      <c r="C330" t="s">
        <v>57</v>
      </c>
      <c r="D330" s="1">
        <v>44698</v>
      </c>
      <c r="E330" s="1" t="str">
        <f>TEXT(Sales[[#This Row],[Date]],"mmm")</f>
        <v>May</v>
      </c>
      <c r="F330" s="1" t="str">
        <f t="shared" si="10"/>
        <v>2022</v>
      </c>
      <c r="G330" s="1" t="str">
        <f t="shared" si="11"/>
        <v>Tue</v>
      </c>
      <c r="H330" s="7">
        <v>5936</v>
      </c>
      <c r="I330" s="6">
        <v>59</v>
      </c>
    </row>
    <row r="331" spans="1:9" x14ac:dyDescent="0.25">
      <c r="A331" t="s">
        <v>55</v>
      </c>
      <c r="B331" t="s">
        <v>21</v>
      </c>
      <c r="C331" t="s">
        <v>13</v>
      </c>
      <c r="D331" s="1">
        <v>44624</v>
      </c>
      <c r="E331" s="1" t="str">
        <f>TEXT(Sales[[#This Row],[Date]],"mmm")</f>
        <v>Mar</v>
      </c>
      <c r="F331" s="1" t="str">
        <f t="shared" si="10"/>
        <v>2022</v>
      </c>
      <c r="G331" s="1" t="str">
        <f t="shared" si="11"/>
        <v>Fri</v>
      </c>
      <c r="H331" s="7">
        <v>889</v>
      </c>
      <c r="I331" s="6">
        <v>273</v>
      </c>
    </row>
    <row r="332" spans="1:9" x14ac:dyDescent="0.25">
      <c r="A332" t="s">
        <v>49</v>
      </c>
      <c r="B332" t="s">
        <v>29</v>
      </c>
      <c r="C332" t="s">
        <v>37</v>
      </c>
      <c r="D332" s="1">
        <v>44749</v>
      </c>
      <c r="E332" s="1" t="str">
        <f>TEXT(Sales[[#This Row],[Date]],"mmm")</f>
        <v>Jul</v>
      </c>
      <c r="F332" s="1" t="str">
        <f t="shared" si="10"/>
        <v>2022</v>
      </c>
      <c r="G332" s="1" t="str">
        <f t="shared" si="11"/>
        <v>Thu</v>
      </c>
      <c r="H332" s="7">
        <v>16016</v>
      </c>
      <c r="I332" s="6">
        <v>28</v>
      </c>
    </row>
    <row r="333" spans="1:9" x14ac:dyDescent="0.25">
      <c r="A333" t="s">
        <v>43</v>
      </c>
      <c r="B333" t="s">
        <v>29</v>
      </c>
      <c r="C333" t="s">
        <v>52</v>
      </c>
      <c r="D333" s="1">
        <v>44574</v>
      </c>
      <c r="E333" s="1" t="str">
        <f>TEXT(Sales[[#This Row],[Date]],"mmm")</f>
        <v>Jan</v>
      </c>
      <c r="F333" s="1" t="str">
        <f t="shared" si="10"/>
        <v>2022</v>
      </c>
      <c r="G333" s="1" t="str">
        <f t="shared" si="11"/>
        <v>Thu</v>
      </c>
      <c r="H333" s="7">
        <v>10479</v>
      </c>
      <c r="I333" s="6">
        <v>118</v>
      </c>
    </row>
    <row r="334" spans="1:9" x14ac:dyDescent="0.25">
      <c r="A334" t="s">
        <v>38</v>
      </c>
      <c r="B334" t="s">
        <v>15</v>
      </c>
      <c r="C334" t="s">
        <v>47</v>
      </c>
      <c r="D334" s="1">
        <v>44755</v>
      </c>
      <c r="E334" s="1" t="str">
        <f>TEXT(Sales[[#This Row],[Date]],"mmm")</f>
        <v>Jul</v>
      </c>
      <c r="F334" s="1" t="str">
        <f t="shared" si="10"/>
        <v>2022</v>
      </c>
      <c r="G334" s="1" t="str">
        <f t="shared" si="11"/>
        <v>Wed</v>
      </c>
      <c r="H334" s="7">
        <v>2912</v>
      </c>
      <c r="I334" s="6">
        <v>75</v>
      </c>
    </row>
    <row r="335" spans="1:9" x14ac:dyDescent="0.25">
      <c r="A335" t="s">
        <v>53</v>
      </c>
      <c r="B335" t="s">
        <v>15</v>
      </c>
      <c r="C335" t="s">
        <v>11</v>
      </c>
      <c r="D335" s="1">
        <v>44728</v>
      </c>
      <c r="E335" s="1" t="str">
        <f>TEXT(Sales[[#This Row],[Date]],"mmm")</f>
        <v>Jun</v>
      </c>
      <c r="F335" s="1" t="str">
        <f t="shared" si="10"/>
        <v>2022</v>
      </c>
      <c r="G335" s="1" t="str">
        <f t="shared" si="11"/>
        <v>Thu</v>
      </c>
      <c r="H335" s="7">
        <v>1575</v>
      </c>
      <c r="I335" s="6">
        <v>329</v>
      </c>
    </row>
    <row r="336" spans="1:9" x14ac:dyDescent="0.25">
      <c r="A336" t="s">
        <v>12</v>
      </c>
      <c r="B336" t="s">
        <v>7</v>
      </c>
      <c r="C336" t="s">
        <v>22</v>
      </c>
      <c r="D336" s="1">
        <v>44760</v>
      </c>
      <c r="E336" s="1" t="str">
        <f>TEXT(Sales[[#This Row],[Date]],"mmm")</f>
        <v>Jul</v>
      </c>
      <c r="F336" s="1" t="str">
        <f t="shared" si="10"/>
        <v>2022</v>
      </c>
      <c r="G336" s="1" t="str">
        <f t="shared" si="11"/>
        <v>Mon</v>
      </c>
      <c r="H336" s="7">
        <v>8197</v>
      </c>
      <c r="I336" s="6">
        <v>69</v>
      </c>
    </row>
    <row r="337" spans="1:9" x14ac:dyDescent="0.25">
      <c r="A337" t="s">
        <v>55</v>
      </c>
      <c r="B337" t="s">
        <v>7</v>
      </c>
      <c r="C337" t="s">
        <v>45</v>
      </c>
      <c r="D337" s="1">
        <v>44711</v>
      </c>
      <c r="E337" s="1" t="str">
        <f>TEXT(Sales[[#This Row],[Date]],"mmm")</f>
        <v>May</v>
      </c>
      <c r="F337" s="1" t="str">
        <f t="shared" si="10"/>
        <v>2022</v>
      </c>
      <c r="G337" s="1" t="str">
        <f t="shared" si="11"/>
        <v>Mon</v>
      </c>
      <c r="H337" s="7">
        <v>4221</v>
      </c>
      <c r="I337" s="6">
        <v>395</v>
      </c>
    </row>
    <row r="338" spans="1:9" x14ac:dyDescent="0.25">
      <c r="A338" t="s">
        <v>12</v>
      </c>
      <c r="B338" t="s">
        <v>7</v>
      </c>
      <c r="C338" t="s">
        <v>58</v>
      </c>
      <c r="D338" s="1">
        <v>44733</v>
      </c>
      <c r="E338" s="1" t="str">
        <f>TEXT(Sales[[#This Row],[Date]],"mmm")</f>
        <v>Jun</v>
      </c>
      <c r="F338" s="1" t="str">
        <f t="shared" si="10"/>
        <v>2022</v>
      </c>
      <c r="G338" s="1" t="str">
        <f t="shared" si="11"/>
        <v>Tue</v>
      </c>
      <c r="H338" s="7">
        <v>840</v>
      </c>
      <c r="I338" s="6">
        <v>81</v>
      </c>
    </row>
    <row r="339" spans="1:9" x14ac:dyDescent="0.25">
      <c r="A339" t="s">
        <v>6</v>
      </c>
      <c r="B339" t="s">
        <v>15</v>
      </c>
      <c r="C339" t="s">
        <v>13</v>
      </c>
      <c r="D339" s="1">
        <v>44736</v>
      </c>
      <c r="E339" s="1" t="str">
        <f>TEXT(Sales[[#This Row],[Date]],"mmm")</f>
        <v>Jun</v>
      </c>
      <c r="F339" s="1" t="str">
        <f t="shared" si="10"/>
        <v>2022</v>
      </c>
      <c r="G339" s="1" t="str">
        <f t="shared" si="11"/>
        <v>Fri</v>
      </c>
      <c r="H339" s="7">
        <v>5691</v>
      </c>
      <c r="I339" s="6">
        <v>38</v>
      </c>
    </row>
    <row r="340" spans="1:9" x14ac:dyDescent="0.25">
      <c r="A340" t="s">
        <v>33</v>
      </c>
      <c r="B340" t="s">
        <v>10</v>
      </c>
      <c r="C340" t="s">
        <v>30</v>
      </c>
      <c r="D340" s="1">
        <v>44574</v>
      </c>
      <c r="E340" s="1" t="str">
        <f>TEXT(Sales[[#This Row],[Date]],"mmm")</f>
        <v>Jan</v>
      </c>
      <c r="F340" s="1" t="str">
        <f t="shared" si="10"/>
        <v>2022</v>
      </c>
      <c r="G340" s="1" t="str">
        <f t="shared" si="11"/>
        <v>Thu</v>
      </c>
      <c r="H340" s="7">
        <v>3472</v>
      </c>
      <c r="I340" s="6">
        <v>96</v>
      </c>
    </row>
    <row r="341" spans="1:9" x14ac:dyDescent="0.25">
      <c r="A341" t="s">
        <v>38</v>
      </c>
      <c r="B341" t="s">
        <v>29</v>
      </c>
      <c r="C341" t="s">
        <v>42</v>
      </c>
      <c r="D341" s="1">
        <v>44655</v>
      </c>
      <c r="E341" s="1" t="str">
        <f>TEXT(Sales[[#This Row],[Date]],"mmm")</f>
        <v>Apr</v>
      </c>
      <c r="F341" s="1" t="str">
        <f t="shared" si="10"/>
        <v>2022</v>
      </c>
      <c r="G341" s="1" t="str">
        <f t="shared" si="11"/>
        <v>Mon</v>
      </c>
      <c r="H341" s="7">
        <v>4193</v>
      </c>
      <c r="I341" s="6">
        <v>195</v>
      </c>
    </row>
    <row r="342" spans="1:9" x14ac:dyDescent="0.25">
      <c r="A342" t="s">
        <v>41</v>
      </c>
      <c r="B342" t="s">
        <v>7</v>
      </c>
      <c r="C342" t="s">
        <v>16</v>
      </c>
      <c r="D342" s="1">
        <v>44720</v>
      </c>
      <c r="E342" s="1" t="str">
        <f>TEXT(Sales[[#This Row],[Date]],"mmm")</f>
        <v>Jun</v>
      </c>
      <c r="F342" s="1" t="str">
        <f t="shared" si="10"/>
        <v>2022</v>
      </c>
      <c r="G342" s="1" t="str">
        <f t="shared" si="11"/>
        <v>Wed</v>
      </c>
      <c r="H342" s="7">
        <v>9016</v>
      </c>
      <c r="I342" s="6">
        <v>554</v>
      </c>
    </row>
    <row r="343" spans="1:9" x14ac:dyDescent="0.25">
      <c r="A343" t="s">
        <v>31</v>
      </c>
      <c r="B343" t="s">
        <v>29</v>
      </c>
      <c r="C343" t="s">
        <v>39</v>
      </c>
      <c r="D343" s="1">
        <v>44775</v>
      </c>
      <c r="E343" s="1" t="str">
        <f>TEXT(Sales[[#This Row],[Date]],"mmm")</f>
        <v>Aug</v>
      </c>
      <c r="F343" s="1" t="str">
        <f t="shared" si="10"/>
        <v>2022</v>
      </c>
      <c r="G343" s="1" t="str">
        <f t="shared" si="11"/>
        <v>Tue</v>
      </c>
      <c r="H343" s="7">
        <v>6328</v>
      </c>
      <c r="I343" s="6">
        <v>47</v>
      </c>
    </row>
    <row r="344" spans="1:9" x14ac:dyDescent="0.25">
      <c r="A344" t="s">
        <v>49</v>
      </c>
      <c r="B344" t="s">
        <v>26</v>
      </c>
      <c r="C344" t="s">
        <v>35</v>
      </c>
      <c r="D344" s="1">
        <v>44763</v>
      </c>
      <c r="E344" s="1" t="str">
        <f>TEXT(Sales[[#This Row],[Date]],"mmm")</f>
        <v>Jul</v>
      </c>
      <c r="F344" s="1" t="str">
        <f t="shared" si="10"/>
        <v>2022</v>
      </c>
      <c r="G344" s="1" t="str">
        <f t="shared" si="11"/>
        <v>Thu</v>
      </c>
      <c r="H344" s="7">
        <v>9870</v>
      </c>
      <c r="I344" s="6">
        <v>152</v>
      </c>
    </row>
    <row r="345" spans="1:9" x14ac:dyDescent="0.25">
      <c r="A345" t="s">
        <v>38</v>
      </c>
      <c r="B345" t="s">
        <v>10</v>
      </c>
      <c r="C345" t="s">
        <v>39</v>
      </c>
      <c r="D345" s="1">
        <v>44732</v>
      </c>
      <c r="E345" s="1" t="str">
        <f>TEXT(Sales[[#This Row],[Date]],"mmm")</f>
        <v>Jun</v>
      </c>
      <c r="F345" s="1" t="str">
        <f t="shared" si="10"/>
        <v>2022</v>
      </c>
      <c r="G345" s="1" t="str">
        <f t="shared" si="11"/>
        <v>Mon</v>
      </c>
      <c r="H345" s="7">
        <v>161</v>
      </c>
      <c r="I345" s="6">
        <v>134</v>
      </c>
    </row>
    <row r="346" spans="1:9" x14ac:dyDescent="0.25">
      <c r="A346" t="s">
        <v>36</v>
      </c>
      <c r="B346" t="s">
        <v>10</v>
      </c>
      <c r="C346" t="s">
        <v>20</v>
      </c>
      <c r="D346" s="1">
        <v>44734</v>
      </c>
      <c r="E346" s="1" t="str">
        <f>TEXT(Sales[[#This Row],[Date]],"mmm")</f>
        <v>Jun</v>
      </c>
      <c r="F346" s="1" t="str">
        <f t="shared" si="10"/>
        <v>2022</v>
      </c>
      <c r="G346" s="1" t="str">
        <f t="shared" si="11"/>
        <v>Wed</v>
      </c>
      <c r="H346" s="7">
        <v>2576</v>
      </c>
      <c r="I346" s="6">
        <v>112</v>
      </c>
    </row>
    <row r="347" spans="1:9" x14ac:dyDescent="0.25">
      <c r="A347" t="s">
        <v>50</v>
      </c>
      <c r="B347" t="s">
        <v>15</v>
      </c>
      <c r="C347" t="s">
        <v>57</v>
      </c>
      <c r="D347" s="1">
        <v>44683</v>
      </c>
      <c r="E347" s="1" t="str">
        <f>TEXT(Sales[[#This Row],[Date]],"mmm")</f>
        <v>May</v>
      </c>
      <c r="F347" s="1" t="str">
        <f t="shared" si="10"/>
        <v>2022</v>
      </c>
      <c r="G347" s="1" t="str">
        <f t="shared" si="11"/>
        <v>Mon</v>
      </c>
      <c r="H347" s="7">
        <v>3178</v>
      </c>
      <c r="I347" s="6">
        <v>16</v>
      </c>
    </row>
    <row r="348" spans="1:9" x14ac:dyDescent="0.25">
      <c r="A348" t="s">
        <v>38</v>
      </c>
      <c r="B348" t="s">
        <v>15</v>
      </c>
      <c r="C348" t="s">
        <v>18</v>
      </c>
      <c r="D348" s="1">
        <v>44568</v>
      </c>
      <c r="E348" s="1" t="str">
        <f>TEXT(Sales[[#This Row],[Date]],"mmm")</f>
        <v>Jan</v>
      </c>
      <c r="F348" s="1" t="str">
        <f t="shared" si="10"/>
        <v>2022</v>
      </c>
      <c r="G348" s="1" t="str">
        <f t="shared" si="11"/>
        <v>Fri</v>
      </c>
      <c r="H348" s="7">
        <v>4676</v>
      </c>
      <c r="I348" s="6">
        <v>84</v>
      </c>
    </row>
    <row r="349" spans="1:9" x14ac:dyDescent="0.25">
      <c r="A349" t="s">
        <v>28</v>
      </c>
      <c r="B349" t="s">
        <v>7</v>
      </c>
      <c r="C349" t="s">
        <v>22</v>
      </c>
      <c r="D349" s="1">
        <v>44613</v>
      </c>
      <c r="E349" s="1" t="str">
        <f>TEXT(Sales[[#This Row],[Date]],"mmm")</f>
        <v>Feb</v>
      </c>
      <c r="F349" s="1" t="str">
        <f t="shared" si="10"/>
        <v>2022</v>
      </c>
      <c r="G349" s="1" t="str">
        <f t="shared" si="11"/>
        <v>Mon</v>
      </c>
      <c r="H349" s="7">
        <v>5502</v>
      </c>
      <c r="I349" s="6">
        <v>99</v>
      </c>
    </row>
    <row r="350" spans="1:9" x14ac:dyDescent="0.25">
      <c r="A350" t="s">
        <v>55</v>
      </c>
      <c r="B350" t="s">
        <v>29</v>
      </c>
      <c r="C350" t="s">
        <v>56</v>
      </c>
      <c r="D350" s="1">
        <v>44641</v>
      </c>
      <c r="E350" s="1" t="str">
        <f>TEXT(Sales[[#This Row],[Date]],"mmm")</f>
        <v>Mar</v>
      </c>
      <c r="F350" s="1" t="str">
        <f t="shared" si="10"/>
        <v>2022</v>
      </c>
      <c r="G350" s="1" t="str">
        <f t="shared" si="11"/>
        <v>Mon</v>
      </c>
      <c r="H350" s="7">
        <v>7462</v>
      </c>
      <c r="I350" s="6">
        <v>371</v>
      </c>
    </row>
    <row r="351" spans="1:9" x14ac:dyDescent="0.25">
      <c r="A351" t="s">
        <v>9</v>
      </c>
      <c r="B351" t="s">
        <v>7</v>
      </c>
      <c r="C351" t="s">
        <v>32</v>
      </c>
      <c r="D351" s="1">
        <v>44655</v>
      </c>
      <c r="E351" s="1" t="str">
        <f>TEXT(Sales[[#This Row],[Date]],"mmm")</f>
        <v>Apr</v>
      </c>
      <c r="F351" s="1" t="str">
        <f t="shared" si="10"/>
        <v>2022</v>
      </c>
      <c r="G351" s="1" t="str">
        <f t="shared" si="11"/>
        <v>Mon</v>
      </c>
      <c r="H351" s="7">
        <v>5803</v>
      </c>
      <c r="I351" s="6">
        <v>136</v>
      </c>
    </row>
    <row r="352" spans="1:9" x14ac:dyDescent="0.25">
      <c r="A352" t="s">
        <v>19</v>
      </c>
      <c r="B352" t="s">
        <v>29</v>
      </c>
      <c r="C352" t="s">
        <v>42</v>
      </c>
      <c r="D352" s="1">
        <v>44644</v>
      </c>
      <c r="E352" s="1" t="str">
        <f>TEXT(Sales[[#This Row],[Date]],"mmm")</f>
        <v>Mar</v>
      </c>
      <c r="F352" s="1" t="str">
        <f t="shared" si="10"/>
        <v>2022</v>
      </c>
      <c r="G352" s="1" t="str">
        <f t="shared" si="11"/>
        <v>Thu</v>
      </c>
      <c r="H352" s="7">
        <v>13888</v>
      </c>
      <c r="I352" s="6">
        <v>203</v>
      </c>
    </row>
    <row r="353" spans="1:9" x14ac:dyDescent="0.25">
      <c r="A353" t="s">
        <v>19</v>
      </c>
      <c r="B353" t="s">
        <v>21</v>
      </c>
      <c r="C353" t="s">
        <v>39</v>
      </c>
      <c r="D353" s="1">
        <v>44740</v>
      </c>
      <c r="E353" s="1" t="str">
        <f>TEXT(Sales[[#This Row],[Date]],"mmm")</f>
        <v>Jun</v>
      </c>
      <c r="F353" s="1" t="str">
        <f t="shared" si="10"/>
        <v>2022</v>
      </c>
      <c r="G353" s="1" t="str">
        <f t="shared" si="11"/>
        <v>Tue</v>
      </c>
      <c r="H353" s="7">
        <v>6867</v>
      </c>
      <c r="I353" s="6">
        <v>183</v>
      </c>
    </row>
    <row r="354" spans="1:9" x14ac:dyDescent="0.25">
      <c r="A354" t="s">
        <v>19</v>
      </c>
      <c r="B354" t="s">
        <v>15</v>
      </c>
      <c r="C354" t="s">
        <v>32</v>
      </c>
      <c r="D354" s="1">
        <v>44575</v>
      </c>
      <c r="E354" s="1" t="str">
        <f>TEXT(Sales[[#This Row],[Date]],"mmm")</f>
        <v>Jan</v>
      </c>
      <c r="F354" s="1" t="str">
        <f t="shared" si="10"/>
        <v>2022</v>
      </c>
      <c r="G354" s="1" t="str">
        <f t="shared" si="11"/>
        <v>Fri</v>
      </c>
      <c r="H354" s="7">
        <v>2317</v>
      </c>
      <c r="I354" s="6">
        <v>195</v>
      </c>
    </row>
    <row r="355" spans="1:9" x14ac:dyDescent="0.25">
      <c r="A355" t="s">
        <v>31</v>
      </c>
      <c r="B355" t="s">
        <v>21</v>
      </c>
      <c r="C355" t="s">
        <v>42</v>
      </c>
      <c r="D355" s="1">
        <v>44599</v>
      </c>
      <c r="E355" s="1" t="str">
        <f>TEXT(Sales[[#This Row],[Date]],"mmm")</f>
        <v>Feb</v>
      </c>
      <c r="F355" s="1" t="str">
        <f t="shared" si="10"/>
        <v>2022</v>
      </c>
      <c r="G355" s="1" t="str">
        <f t="shared" si="11"/>
        <v>Mon</v>
      </c>
      <c r="H355" s="7">
        <v>1218</v>
      </c>
      <c r="I355" s="6">
        <v>135</v>
      </c>
    </row>
    <row r="356" spans="1:9" x14ac:dyDescent="0.25">
      <c r="A356" t="s">
        <v>43</v>
      </c>
      <c r="B356" t="s">
        <v>21</v>
      </c>
      <c r="C356" t="s">
        <v>32</v>
      </c>
      <c r="D356" s="1">
        <v>44572</v>
      </c>
      <c r="E356" s="1" t="str">
        <f>TEXT(Sales[[#This Row],[Date]],"mmm")</f>
        <v>Jan</v>
      </c>
      <c r="F356" s="1" t="str">
        <f t="shared" si="10"/>
        <v>2022</v>
      </c>
      <c r="G356" s="1" t="str">
        <f t="shared" si="11"/>
        <v>Tue</v>
      </c>
      <c r="H356" s="7">
        <v>4109</v>
      </c>
      <c r="I356" s="6">
        <v>197</v>
      </c>
    </row>
    <row r="357" spans="1:9" x14ac:dyDescent="0.25">
      <c r="A357" t="s">
        <v>6</v>
      </c>
      <c r="B357" t="s">
        <v>10</v>
      </c>
      <c r="C357" t="s">
        <v>18</v>
      </c>
      <c r="D357" s="1">
        <v>44617</v>
      </c>
      <c r="E357" s="1" t="str">
        <f>TEXT(Sales[[#This Row],[Date]],"mmm")</f>
        <v>Feb</v>
      </c>
      <c r="F357" s="1" t="str">
        <f t="shared" si="10"/>
        <v>2022</v>
      </c>
      <c r="G357" s="1" t="str">
        <f t="shared" si="11"/>
        <v>Fri</v>
      </c>
      <c r="H357" s="7">
        <v>1953</v>
      </c>
      <c r="I357" s="6">
        <v>242</v>
      </c>
    </row>
    <row r="358" spans="1:9" x14ac:dyDescent="0.25">
      <c r="A358" t="s">
        <v>54</v>
      </c>
      <c r="B358" t="s">
        <v>15</v>
      </c>
      <c r="C358" t="s">
        <v>8</v>
      </c>
      <c r="D358" s="1">
        <v>44774</v>
      </c>
      <c r="E358" s="1" t="str">
        <f>TEXT(Sales[[#This Row],[Date]],"mmm")</f>
        <v>Aug</v>
      </c>
      <c r="F358" s="1" t="str">
        <f t="shared" si="10"/>
        <v>2022</v>
      </c>
      <c r="G358" s="1" t="str">
        <f t="shared" si="11"/>
        <v>Mon</v>
      </c>
      <c r="H358" s="7">
        <v>6790</v>
      </c>
      <c r="I358" s="6">
        <v>25</v>
      </c>
    </row>
    <row r="359" spans="1:9" x14ac:dyDescent="0.25">
      <c r="A359" t="s">
        <v>36</v>
      </c>
      <c r="B359" t="s">
        <v>15</v>
      </c>
      <c r="C359" t="s">
        <v>8</v>
      </c>
      <c r="D359" s="1">
        <v>44686</v>
      </c>
      <c r="E359" s="1" t="str">
        <f>TEXT(Sales[[#This Row],[Date]],"mmm")</f>
        <v>May</v>
      </c>
      <c r="F359" s="1" t="str">
        <f t="shared" si="10"/>
        <v>2022</v>
      </c>
      <c r="G359" s="1" t="str">
        <f t="shared" si="11"/>
        <v>Thu</v>
      </c>
      <c r="H359" s="7">
        <v>6797</v>
      </c>
      <c r="I359" s="6">
        <v>252</v>
      </c>
    </row>
    <row r="360" spans="1:9" x14ac:dyDescent="0.25">
      <c r="A360" t="s">
        <v>53</v>
      </c>
      <c r="B360" t="s">
        <v>21</v>
      </c>
      <c r="C360" t="s">
        <v>51</v>
      </c>
      <c r="D360" s="1">
        <v>44699</v>
      </c>
      <c r="E360" s="1" t="str">
        <f>TEXT(Sales[[#This Row],[Date]],"mmm")</f>
        <v>May</v>
      </c>
      <c r="F360" s="1" t="str">
        <f t="shared" si="10"/>
        <v>2022</v>
      </c>
      <c r="G360" s="1" t="str">
        <f t="shared" si="11"/>
        <v>Wed</v>
      </c>
      <c r="H360" s="7">
        <v>9226</v>
      </c>
      <c r="I360" s="6">
        <v>415</v>
      </c>
    </row>
    <row r="361" spans="1:9" x14ac:dyDescent="0.25">
      <c r="A361" t="s">
        <v>54</v>
      </c>
      <c r="B361" t="s">
        <v>21</v>
      </c>
      <c r="C361" t="s">
        <v>52</v>
      </c>
      <c r="D361" s="1">
        <v>44565</v>
      </c>
      <c r="E361" s="1" t="str">
        <f>TEXT(Sales[[#This Row],[Date]],"mmm")</f>
        <v>Jan</v>
      </c>
      <c r="F361" s="1" t="str">
        <f t="shared" si="10"/>
        <v>2022</v>
      </c>
      <c r="G361" s="1" t="str">
        <f t="shared" si="11"/>
        <v>Tue</v>
      </c>
      <c r="H361" s="7">
        <v>5733</v>
      </c>
      <c r="I361" s="6">
        <v>348</v>
      </c>
    </row>
    <row r="362" spans="1:9" x14ac:dyDescent="0.25">
      <c r="A362" t="s">
        <v>36</v>
      </c>
      <c r="B362" t="s">
        <v>21</v>
      </c>
      <c r="C362" t="s">
        <v>22</v>
      </c>
      <c r="D362" s="1">
        <v>44690</v>
      </c>
      <c r="E362" s="1" t="str">
        <f>TEXT(Sales[[#This Row],[Date]],"mmm")</f>
        <v>May</v>
      </c>
      <c r="F362" s="1" t="str">
        <f t="shared" si="10"/>
        <v>2022</v>
      </c>
      <c r="G362" s="1" t="str">
        <f t="shared" si="11"/>
        <v>Mon</v>
      </c>
      <c r="H362" s="7">
        <v>4312</v>
      </c>
      <c r="I362" s="6">
        <v>211</v>
      </c>
    </row>
    <row r="363" spans="1:9" x14ac:dyDescent="0.25">
      <c r="A363" t="s">
        <v>24</v>
      </c>
      <c r="B363" t="s">
        <v>10</v>
      </c>
      <c r="C363" t="s">
        <v>16</v>
      </c>
      <c r="D363" s="1">
        <v>44687</v>
      </c>
      <c r="E363" s="1" t="str">
        <f>TEXT(Sales[[#This Row],[Date]],"mmm")</f>
        <v>May</v>
      </c>
      <c r="F363" s="1" t="str">
        <f t="shared" si="10"/>
        <v>2022</v>
      </c>
      <c r="G363" s="1" t="str">
        <f t="shared" si="11"/>
        <v>Fri</v>
      </c>
      <c r="H363" s="7">
        <v>1638</v>
      </c>
      <c r="I363" s="6">
        <v>81</v>
      </c>
    </row>
    <row r="364" spans="1:9" x14ac:dyDescent="0.25">
      <c r="A364" t="s">
        <v>40</v>
      </c>
      <c r="B364" t="s">
        <v>7</v>
      </c>
      <c r="C364" t="s">
        <v>44</v>
      </c>
      <c r="D364" s="1">
        <v>44574</v>
      </c>
      <c r="E364" s="1" t="str">
        <f>TEXT(Sales[[#This Row],[Date]],"mmm")</f>
        <v>Jan</v>
      </c>
      <c r="F364" s="1" t="str">
        <f t="shared" si="10"/>
        <v>2022</v>
      </c>
      <c r="G364" s="1" t="str">
        <f t="shared" si="11"/>
        <v>Thu</v>
      </c>
      <c r="H364" s="7">
        <v>10815</v>
      </c>
      <c r="I364" s="6">
        <v>145</v>
      </c>
    </row>
    <row r="365" spans="1:9" x14ac:dyDescent="0.25">
      <c r="A365" t="s">
        <v>36</v>
      </c>
      <c r="B365" t="s">
        <v>15</v>
      </c>
      <c r="C365" t="s">
        <v>47</v>
      </c>
      <c r="D365" s="1">
        <v>44736</v>
      </c>
      <c r="E365" s="1" t="str">
        <f>TEXT(Sales[[#This Row],[Date]],"mmm")</f>
        <v>Jun</v>
      </c>
      <c r="F365" s="1" t="str">
        <f t="shared" si="10"/>
        <v>2022</v>
      </c>
      <c r="G365" s="1" t="str">
        <f t="shared" si="11"/>
        <v>Fri</v>
      </c>
      <c r="H365" s="7">
        <v>4466</v>
      </c>
      <c r="I365" s="6">
        <v>74</v>
      </c>
    </row>
    <row r="366" spans="1:9" x14ac:dyDescent="0.25">
      <c r="A366" t="s">
        <v>9</v>
      </c>
      <c r="B366" t="s">
        <v>26</v>
      </c>
      <c r="C366" t="s">
        <v>57</v>
      </c>
      <c r="D366" s="1">
        <v>44606</v>
      </c>
      <c r="E366" s="1" t="str">
        <f>TEXT(Sales[[#This Row],[Date]],"mmm")</f>
        <v>Feb</v>
      </c>
      <c r="F366" s="1" t="str">
        <f t="shared" si="10"/>
        <v>2022</v>
      </c>
      <c r="G366" s="1" t="str">
        <f t="shared" si="11"/>
        <v>Mon</v>
      </c>
      <c r="H366" s="7">
        <v>987</v>
      </c>
      <c r="I366" s="6">
        <v>21</v>
      </c>
    </row>
    <row r="367" spans="1:9" x14ac:dyDescent="0.25">
      <c r="A367" t="s">
        <v>50</v>
      </c>
      <c r="B367" t="s">
        <v>15</v>
      </c>
      <c r="C367" t="s">
        <v>18</v>
      </c>
      <c r="D367" s="1">
        <v>44579</v>
      </c>
      <c r="E367" s="1" t="str">
        <f>TEXT(Sales[[#This Row],[Date]],"mmm")</f>
        <v>Jan</v>
      </c>
      <c r="F367" s="1" t="str">
        <f t="shared" si="10"/>
        <v>2022</v>
      </c>
      <c r="G367" s="1" t="str">
        <f t="shared" si="11"/>
        <v>Tue</v>
      </c>
      <c r="H367" s="7">
        <v>4669</v>
      </c>
      <c r="I367" s="6">
        <v>101</v>
      </c>
    </row>
    <row r="368" spans="1:9" x14ac:dyDescent="0.25">
      <c r="A368" t="s">
        <v>41</v>
      </c>
      <c r="B368" t="s">
        <v>10</v>
      </c>
      <c r="C368" t="s">
        <v>37</v>
      </c>
      <c r="D368" s="1">
        <v>44683</v>
      </c>
      <c r="E368" s="1" t="str">
        <f>TEXT(Sales[[#This Row],[Date]],"mmm")</f>
        <v>May</v>
      </c>
      <c r="F368" s="1" t="str">
        <f t="shared" si="10"/>
        <v>2022</v>
      </c>
      <c r="G368" s="1" t="str">
        <f t="shared" si="11"/>
        <v>Mon</v>
      </c>
      <c r="H368" s="7">
        <v>2905</v>
      </c>
      <c r="I368" s="6">
        <v>91</v>
      </c>
    </row>
    <row r="369" spans="1:9" x14ac:dyDescent="0.25">
      <c r="A369" t="s">
        <v>55</v>
      </c>
      <c r="B369" t="s">
        <v>15</v>
      </c>
      <c r="C369" t="s">
        <v>16</v>
      </c>
      <c r="D369" s="1">
        <v>44697</v>
      </c>
      <c r="E369" s="1" t="str">
        <f>TEXT(Sales[[#This Row],[Date]],"mmm")</f>
        <v>May</v>
      </c>
      <c r="F369" s="1" t="str">
        <f t="shared" si="10"/>
        <v>2022</v>
      </c>
      <c r="G369" s="1" t="str">
        <f t="shared" si="11"/>
        <v>Mon</v>
      </c>
      <c r="H369" s="7">
        <v>7490</v>
      </c>
      <c r="I369" s="6">
        <v>54</v>
      </c>
    </row>
    <row r="370" spans="1:9" x14ac:dyDescent="0.25">
      <c r="A370" t="s">
        <v>28</v>
      </c>
      <c r="B370" t="s">
        <v>26</v>
      </c>
      <c r="C370" t="s">
        <v>47</v>
      </c>
      <c r="D370" s="1">
        <v>44589</v>
      </c>
      <c r="E370" s="1" t="str">
        <f>TEXT(Sales[[#This Row],[Date]],"mmm")</f>
        <v>Jan</v>
      </c>
      <c r="F370" s="1" t="str">
        <f t="shared" si="10"/>
        <v>2022</v>
      </c>
      <c r="G370" s="1" t="str">
        <f t="shared" si="11"/>
        <v>Fri</v>
      </c>
      <c r="H370" s="7">
        <v>6986</v>
      </c>
      <c r="I370" s="6">
        <v>368</v>
      </c>
    </row>
    <row r="371" spans="1:9" x14ac:dyDescent="0.25">
      <c r="A371" t="s">
        <v>41</v>
      </c>
      <c r="B371" t="s">
        <v>29</v>
      </c>
      <c r="C371" t="s">
        <v>18</v>
      </c>
      <c r="D371" s="1">
        <v>44736</v>
      </c>
      <c r="E371" s="1" t="str">
        <f>TEXT(Sales[[#This Row],[Date]],"mmm")</f>
        <v>Jun</v>
      </c>
      <c r="F371" s="1" t="str">
        <f t="shared" si="10"/>
        <v>2022</v>
      </c>
      <c r="G371" s="1" t="str">
        <f t="shared" si="11"/>
        <v>Fri</v>
      </c>
      <c r="H371" s="7">
        <v>1288</v>
      </c>
      <c r="I371" s="6">
        <v>409</v>
      </c>
    </row>
    <row r="372" spans="1:9" x14ac:dyDescent="0.25">
      <c r="A372" t="s">
        <v>17</v>
      </c>
      <c r="B372" t="s">
        <v>7</v>
      </c>
      <c r="C372" t="s">
        <v>20</v>
      </c>
      <c r="D372" s="1">
        <v>44760</v>
      </c>
      <c r="E372" s="1" t="str">
        <f>TEXT(Sales[[#This Row],[Date]],"mmm")</f>
        <v>Jul</v>
      </c>
      <c r="F372" s="1" t="str">
        <f t="shared" si="10"/>
        <v>2022</v>
      </c>
      <c r="G372" s="1" t="str">
        <f t="shared" si="11"/>
        <v>Mon</v>
      </c>
      <c r="H372" s="7">
        <v>2345</v>
      </c>
      <c r="I372" s="6">
        <v>104</v>
      </c>
    </row>
    <row r="373" spans="1:9" x14ac:dyDescent="0.25">
      <c r="A373" t="s">
        <v>19</v>
      </c>
      <c r="B373" t="s">
        <v>7</v>
      </c>
      <c r="C373" t="s">
        <v>30</v>
      </c>
      <c r="D373" s="1">
        <v>44664</v>
      </c>
      <c r="E373" s="1" t="str">
        <f>TEXT(Sales[[#This Row],[Date]],"mmm")</f>
        <v>Apr</v>
      </c>
      <c r="F373" s="1" t="str">
        <f t="shared" si="10"/>
        <v>2022</v>
      </c>
      <c r="G373" s="1" t="str">
        <f t="shared" si="11"/>
        <v>Wed</v>
      </c>
      <c r="H373" s="7">
        <v>3619</v>
      </c>
      <c r="I373" s="6">
        <v>164</v>
      </c>
    </row>
    <row r="374" spans="1:9" x14ac:dyDescent="0.25">
      <c r="A374" t="s">
        <v>54</v>
      </c>
      <c r="B374" t="s">
        <v>26</v>
      </c>
      <c r="C374" t="s">
        <v>57</v>
      </c>
      <c r="D374" s="1">
        <v>44666</v>
      </c>
      <c r="E374" s="1" t="str">
        <f>TEXT(Sales[[#This Row],[Date]],"mmm")</f>
        <v>Apr</v>
      </c>
      <c r="F374" s="1" t="str">
        <f t="shared" si="10"/>
        <v>2022</v>
      </c>
      <c r="G374" s="1" t="str">
        <f t="shared" si="11"/>
        <v>Fri</v>
      </c>
      <c r="H374" s="7">
        <v>16982</v>
      </c>
      <c r="I374" s="6">
        <v>76</v>
      </c>
    </row>
    <row r="375" spans="1:9" x14ac:dyDescent="0.25">
      <c r="A375" t="s">
        <v>14</v>
      </c>
      <c r="B375" t="s">
        <v>10</v>
      </c>
      <c r="C375" t="s">
        <v>13</v>
      </c>
      <c r="D375" s="1">
        <v>44565</v>
      </c>
      <c r="E375" s="1" t="str">
        <f>TEXT(Sales[[#This Row],[Date]],"mmm")</f>
        <v>Jan</v>
      </c>
      <c r="F375" s="1" t="str">
        <f t="shared" si="10"/>
        <v>2022</v>
      </c>
      <c r="G375" s="1" t="str">
        <f t="shared" si="11"/>
        <v>Tue</v>
      </c>
      <c r="H375" s="7">
        <v>8092</v>
      </c>
      <c r="I375" s="6">
        <v>178</v>
      </c>
    </row>
    <row r="376" spans="1:9" x14ac:dyDescent="0.25">
      <c r="A376" t="s">
        <v>40</v>
      </c>
      <c r="B376" t="s">
        <v>15</v>
      </c>
      <c r="C376" t="s">
        <v>30</v>
      </c>
      <c r="D376" s="1">
        <v>44746</v>
      </c>
      <c r="E376" s="1" t="str">
        <f>TEXT(Sales[[#This Row],[Date]],"mmm")</f>
        <v>Jul</v>
      </c>
      <c r="F376" s="1" t="str">
        <f t="shared" si="10"/>
        <v>2022</v>
      </c>
      <c r="G376" s="1" t="str">
        <f t="shared" si="11"/>
        <v>Mon</v>
      </c>
      <c r="H376" s="7">
        <v>6993</v>
      </c>
      <c r="I376" s="6">
        <v>31</v>
      </c>
    </row>
    <row r="377" spans="1:9" x14ac:dyDescent="0.25">
      <c r="A377" t="s">
        <v>34</v>
      </c>
      <c r="B377" t="s">
        <v>26</v>
      </c>
      <c r="C377" t="s">
        <v>16</v>
      </c>
      <c r="D377" s="1">
        <v>44644</v>
      </c>
      <c r="E377" s="1" t="str">
        <f>TEXT(Sales[[#This Row],[Date]],"mmm")</f>
        <v>Mar</v>
      </c>
      <c r="F377" s="1" t="str">
        <f t="shared" si="10"/>
        <v>2022</v>
      </c>
      <c r="G377" s="1" t="str">
        <f t="shared" si="11"/>
        <v>Thu</v>
      </c>
      <c r="H377" s="7">
        <v>2317</v>
      </c>
      <c r="I377" s="6">
        <v>352</v>
      </c>
    </row>
    <row r="378" spans="1:9" x14ac:dyDescent="0.25">
      <c r="A378" t="s">
        <v>50</v>
      </c>
      <c r="B378" t="s">
        <v>15</v>
      </c>
      <c r="C378" t="s">
        <v>45</v>
      </c>
      <c r="D378" s="1">
        <v>44637</v>
      </c>
      <c r="E378" s="1" t="str">
        <f>TEXT(Sales[[#This Row],[Date]],"mmm")</f>
        <v>Mar</v>
      </c>
      <c r="F378" s="1" t="str">
        <f t="shared" si="10"/>
        <v>2022</v>
      </c>
      <c r="G378" s="1" t="str">
        <f t="shared" si="11"/>
        <v>Thu</v>
      </c>
      <c r="H378" s="7">
        <v>637</v>
      </c>
      <c r="I378" s="6">
        <v>169</v>
      </c>
    </row>
    <row r="379" spans="1:9" x14ac:dyDescent="0.25">
      <c r="A379" t="s">
        <v>17</v>
      </c>
      <c r="B379" t="s">
        <v>15</v>
      </c>
      <c r="C379" t="s">
        <v>47</v>
      </c>
      <c r="D379" s="1">
        <v>44607</v>
      </c>
      <c r="E379" s="1" t="str">
        <f>TEXT(Sales[[#This Row],[Date]],"mmm")</f>
        <v>Feb</v>
      </c>
      <c r="F379" s="1" t="str">
        <f t="shared" si="10"/>
        <v>2022</v>
      </c>
      <c r="G379" s="1" t="str">
        <f t="shared" si="11"/>
        <v>Tue</v>
      </c>
      <c r="H379" s="7">
        <v>6034</v>
      </c>
      <c r="I379" s="6">
        <v>223</v>
      </c>
    </row>
    <row r="380" spans="1:9" x14ac:dyDescent="0.25">
      <c r="A380" t="s">
        <v>14</v>
      </c>
      <c r="B380" t="s">
        <v>26</v>
      </c>
      <c r="C380" t="s">
        <v>27</v>
      </c>
      <c r="D380" s="1">
        <v>44741</v>
      </c>
      <c r="E380" s="1" t="str">
        <f>TEXT(Sales[[#This Row],[Date]],"mmm")</f>
        <v>Jun</v>
      </c>
      <c r="F380" s="1" t="str">
        <f t="shared" si="10"/>
        <v>2022</v>
      </c>
      <c r="G380" s="1" t="str">
        <f t="shared" si="11"/>
        <v>Wed</v>
      </c>
      <c r="H380" s="7">
        <v>980</v>
      </c>
      <c r="I380" s="6">
        <v>146</v>
      </c>
    </row>
    <row r="381" spans="1:9" x14ac:dyDescent="0.25">
      <c r="A381" t="s">
        <v>12</v>
      </c>
      <c r="B381" t="s">
        <v>26</v>
      </c>
      <c r="C381" t="s">
        <v>42</v>
      </c>
      <c r="D381" s="1">
        <v>44705</v>
      </c>
      <c r="E381" s="1" t="str">
        <f>TEXT(Sales[[#This Row],[Date]],"mmm")</f>
        <v>May</v>
      </c>
      <c r="F381" s="1" t="str">
        <f t="shared" si="10"/>
        <v>2022</v>
      </c>
      <c r="G381" s="1" t="str">
        <f t="shared" si="11"/>
        <v>Tue</v>
      </c>
      <c r="H381" s="7">
        <v>2821</v>
      </c>
      <c r="I381" s="6">
        <v>112</v>
      </c>
    </row>
    <row r="382" spans="1:9" x14ac:dyDescent="0.25">
      <c r="A382" t="s">
        <v>28</v>
      </c>
      <c r="B382" t="s">
        <v>7</v>
      </c>
      <c r="C382" t="s">
        <v>37</v>
      </c>
      <c r="D382" s="1">
        <v>44571</v>
      </c>
      <c r="E382" s="1" t="str">
        <f>TEXT(Sales[[#This Row],[Date]],"mmm")</f>
        <v>Jan</v>
      </c>
      <c r="F382" s="1" t="str">
        <f t="shared" si="10"/>
        <v>2022</v>
      </c>
      <c r="G382" s="1" t="str">
        <f t="shared" si="11"/>
        <v>Mon</v>
      </c>
      <c r="H382" s="7">
        <v>3563</v>
      </c>
      <c r="I382" s="6">
        <v>284</v>
      </c>
    </row>
    <row r="383" spans="1:9" x14ac:dyDescent="0.25">
      <c r="A383" t="s">
        <v>38</v>
      </c>
      <c r="B383" t="s">
        <v>26</v>
      </c>
      <c r="C383" t="s">
        <v>51</v>
      </c>
      <c r="D383" s="1">
        <v>44635</v>
      </c>
      <c r="E383" s="1" t="str">
        <f>TEXT(Sales[[#This Row],[Date]],"mmm")</f>
        <v>Mar</v>
      </c>
      <c r="F383" s="1" t="str">
        <f t="shared" si="10"/>
        <v>2022</v>
      </c>
      <c r="G383" s="1" t="str">
        <f t="shared" si="11"/>
        <v>Tue</v>
      </c>
      <c r="H383" s="7">
        <v>2996</v>
      </c>
      <c r="I383" s="6">
        <v>139</v>
      </c>
    </row>
    <row r="384" spans="1:9" x14ac:dyDescent="0.25">
      <c r="A384" t="s">
        <v>33</v>
      </c>
      <c r="B384" t="s">
        <v>29</v>
      </c>
      <c r="C384" t="s">
        <v>37</v>
      </c>
      <c r="D384" s="1">
        <v>44600</v>
      </c>
      <c r="E384" s="1" t="str">
        <f>TEXT(Sales[[#This Row],[Date]],"mmm")</f>
        <v>Feb</v>
      </c>
      <c r="F384" s="1" t="str">
        <f t="shared" si="10"/>
        <v>2022</v>
      </c>
      <c r="G384" s="1" t="str">
        <f t="shared" si="11"/>
        <v>Tue</v>
      </c>
      <c r="H384" s="7">
        <v>2436</v>
      </c>
      <c r="I384" s="6">
        <v>309</v>
      </c>
    </row>
    <row r="385" spans="1:9" x14ac:dyDescent="0.25">
      <c r="A385" t="s">
        <v>23</v>
      </c>
      <c r="B385" t="s">
        <v>10</v>
      </c>
      <c r="C385" t="s">
        <v>57</v>
      </c>
      <c r="D385" s="1">
        <v>44617</v>
      </c>
      <c r="E385" s="1" t="str">
        <f>TEXT(Sales[[#This Row],[Date]],"mmm")</f>
        <v>Feb</v>
      </c>
      <c r="F385" s="1" t="str">
        <f t="shared" si="10"/>
        <v>2022</v>
      </c>
      <c r="G385" s="1" t="str">
        <f t="shared" si="11"/>
        <v>Fri</v>
      </c>
      <c r="H385" s="7">
        <v>1540</v>
      </c>
      <c r="I385" s="6">
        <v>100</v>
      </c>
    </row>
    <row r="386" spans="1:9" x14ac:dyDescent="0.25">
      <c r="A386" t="s">
        <v>19</v>
      </c>
      <c r="B386" t="s">
        <v>26</v>
      </c>
      <c r="C386" t="s">
        <v>30</v>
      </c>
      <c r="D386" s="1">
        <v>44684</v>
      </c>
      <c r="E386" s="1" t="str">
        <f>TEXT(Sales[[#This Row],[Date]],"mmm")</f>
        <v>May</v>
      </c>
      <c r="F386" s="1" t="str">
        <f t="shared" ref="F386:F449" si="12">TEXT(D:D,"yyyy")</f>
        <v>2022</v>
      </c>
      <c r="G386" s="1" t="str">
        <f t="shared" ref="G386:G449" si="13">TEXT(D:D,"ddd")</f>
        <v>Tue</v>
      </c>
      <c r="H386" s="7">
        <v>6916</v>
      </c>
      <c r="I386" s="6">
        <v>42</v>
      </c>
    </row>
    <row r="387" spans="1:9" x14ac:dyDescent="0.25">
      <c r="A387" t="s">
        <v>36</v>
      </c>
      <c r="B387" t="s">
        <v>26</v>
      </c>
      <c r="C387" t="s">
        <v>42</v>
      </c>
      <c r="D387" s="1">
        <v>44726</v>
      </c>
      <c r="E387" s="1" t="str">
        <f>TEXT(Sales[[#This Row],[Date]],"mmm")</f>
        <v>Jun</v>
      </c>
      <c r="F387" s="1" t="str">
        <f t="shared" si="12"/>
        <v>2022</v>
      </c>
      <c r="G387" s="1" t="str">
        <f t="shared" si="13"/>
        <v>Tue</v>
      </c>
      <c r="H387" s="7">
        <v>5509</v>
      </c>
      <c r="I387" s="6">
        <v>24</v>
      </c>
    </row>
    <row r="388" spans="1:9" x14ac:dyDescent="0.25">
      <c r="A388" t="s">
        <v>19</v>
      </c>
      <c r="B388" t="s">
        <v>10</v>
      </c>
      <c r="C388" t="s">
        <v>22</v>
      </c>
      <c r="D388" s="1">
        <v>44782</v>
      </c>
      <c r="E388" s="1" t="str">
        <f>TEXT(Sales[[#This Row],[Date]],"mmm")</f>
        <v>Aug</v>
      </c>
      <c r="F388" s="1" t="str">
        <f t="shared" si="12"/>
        <v>2022</v>
      </c>
      <c r="G388" s="1" t="str">
        <f t="shared" si="13"/>
        <v>Tue</v>
      </c>
      <c r="H388" s="7">
        <v>12992</v>
      </c>
      <c r="I388" s="6">
        <v>83</v>
      </c>
    </row>
    <row r="389" spans="1:9" x14ac:dyDescent="0.25">
      <c r="A389" t="s">
        <v>46</v>
      </c>
      <c r="B389" t="s">
        <v>21</v>
      </c>
      <c r="C389" t="s">
        <v>45</v>
      </c>
      <c r="D389" s="1">
        <v>44753</v>
      </c>
      <c r="E389" s="1" t="str">
        <f>TEXT(Sales[[#This Row],[Date]],"mmm")</f>
        <v>Jul</v>
      </c>
      <c r="F389" s="1" t="str">
        <f t="shared" si="12"/>
        <v>2022</v>
      </c>
      <c r="G389" s="1" t="str">
        <f t="shared" si="13"/>
        <v>Mon</v>
      </c>
      <c r="H389" s="7">
        <v>3724</v>
      </c>
      <c r="I389" s="6">
        <v>234</v>
      </c>
    </row>
    <row r="390" spans="1:9" x14ac:dyDescent="0.25">
      <c r="A390" t="s">
        <v>41</v>
      </c>
      <c r="B390" t="s">
        <v>7</v>
      </c>
      <c r="C390" t="s">
        <v>45</v>
      </c>
      <c r="D390" s="1">
        <v>44575</v>
      </c>
      <c r="E390" s="1" t="str">
        <f>TEXT(Sales[[#This Row],[Date]],"mmm")</f>
        <v>Jan</v>
      </c>
      <c r="F390" s="1" t="str">
        <f t="shared" si="12"/>
        <v>2022</v>
      </c>
      <c r="G390" s="1" t="str">
        <f t="shared" si="13"/>
        <v>Fri</v>
      </c>
      <c r="H390" s="7">
        <v>7133</v>
      </c>
      <c r="I390" s="6">
        <v>118</v>
      </c>
    </row>
    <row r="391" spans="1:9" x14ac:dyDescent="0.25">
      <c r="A391" t="s">
        <v>9</v>
      </c>
      <c r="B391" t="s">
        <v>29</v>
      </c>
      <c r="C391" t="s">
        <v>45</v>
      </c>
      <c r="D391" s="1">
        <v>44616</v>
      </c>
      <c r="E391" s="1" t="str">
        <f>TEXT(Sales[[#This Row],[Date]],"mmm")</f>
        <v>Feb</v>
      </c>
      <c r="F391" s="1" t="str">
        <f t="shared" si="12"/>
        <v>2022</v>
      </c>
      <c r="G391" s="1" t="str">
        <f t="shared" si="13"/>
        <v>Thu</v>
      </c>
      <c r="H391" s="7">
        <v>8617</v>
      </c>
      <c r="I391" s="6">
        <v>46</v>
      </c>
    </row>
    <row r="392" spans="1:9" x14ac:dyDescent="0.25">
      <c r="A392" t="s">
        <v>46</v>
      </c>
      <c r="B392" t="s">
        <v>21</v>
      </c>
      <c r="C392" t="s">
        <v>47</v>
      </c>
      <c r="D392" s="1">
        <v>44635</v>
      </c>
      <c r="E392" s="1" t="str">
        <f>TEXT(Sales[[#This Row],[Date]],"mmm")</f>
        <v>Mar</v>
      </c>
      <c r="F392" s="1" t="str">
        <f t="shared" si="12"/>
        <v>2022</v>
      </c>
      <c r="G392" s="1" t="str">
        <f t="shared" si="13"/>
        <v>Tue</v>
      </c>
      <c r="H392" s="7">
        <v>9198</v>
      </c>
      <c r="I392" s="6">
        <v>144</v>
      </c>
    </row>
    <row r="393" spans="1:9" x14ac:dyDescent="0.25">
      <c r="A393" t="s">
        <v>17</v>
      </c>
      <c r="B393" t="s">
        <v>21</v>
      </c>
      <c r="C393" t="s">
        <v>56</v>
      </c>
      <c r="D393" s="1">
        <v>44676</v>
      </c>
      <c r="E393" s="1" t="str">
        <f>TEXT(Sales[[#This Row],[Date]],"mmm")</f>
        <v>Apr</v>
      </c>
      <c r="F393" s="1" t="str">
        <f t="shared" si="12"/>
        <v>2022</v>
      </c>
      <c r="G393" s="1" t="str">
        <f t="shared" si="13"/>
        <v>Mon</v>
      </c>
      <c r="H393" s="7">
        <v>11823</v>
      </c>
      <c r="I393" s="6">
        <v>47</v>
      </c>
    </row>
    <row r="394" spans="1:9" x14ac:dyDescent="0.25">
      <c r="A394" t="s">
        <v>43</v>
      </c>
      <c r="B394" t="s">
        <v>15</v>
      </c>
      <c r="C394" t="s">
        <v>35</v>
      </c>
      <c r="D394" s="1">
        <v>44691</v>
      </c>
      <c r="E394" s="1" t="str">
        <f>TEXT(Sales[[#This Row],[Date]],"mmm")</f>
        <v>May</v>
      </c>
      <c r="F394" s="1" t="str">
        <f t="shared" si="12"/>
        <v>2022</v>
      </c>
      <c r="G394" s="1" t="str">
        <f t="shared" si="13"/>
        <v>Tue</v>
      </c>
      <c r="H394" s="7">
        <v>5775</v>
      </c>
      <c r="I394" s="6">
        <v>41</v>
      </c>
    </row>
    <row r="395" spans="1:9" x14ac:dyDescent="0.25">
      <c r="A395" t="s">
        <v>33</v>
      </c>
      <c r="B395" t="s">
        <v>15</v>
      </c>
      <c r="C395" t="s">
        <v>39</v>
      </c>
      <c r="D395" s="1">
        <v>44735</v>
      </c>
      <c r="E395" s="1" t="str">
        <f>TEXT(Sales[[#This Row],[Date]],"mmm")</f>
        <v>Jun</v>
      </c>
      <c r="F395" s="1" t="str">
        <f t="shared" si="12"/>
        <v>2022</v>
      </c>
      <c r="G395" s="1" t="str">
        <f t="shared" si="13"/>
        <v>Thu</v>
      </c>
      <c r="H395" s="7">
        <v>13125</v>
      </c>
      <c r="I395" s="6">
        <v>275</v>
      </c>
    </row>
    <row r="396" spans="1:9" x14ac:dyDescent="0.25">
      <c r="A396" t="s">
        <v>34</v>
      </c>
      <c r="B396" t="s">
        <v>29</v>
      </c>
      <c r="C396" t="s">
        <v>16</v>
      </c>
      <c r="D396" s="1">
        <v>44620</v>
      </c>
      <c r="E396" s="1" t="str">
        <f>TEXT(Sales[[#This Row],[Date]],"mmm")</f>
        <v>Feb</v>
      </c>
      <c r="F396" s="1" t="str">
        <f t="shared" si="12"/>
        <v>2022</v>
      </c>
      <c r="G396" s="1" t="str">
        <f t="shared" si="13"/>
        <v>Mon</v>
      </c>
      <c r="H396" s="7">
        <v>14287</v>
      </c>
      <c r="I396" s="6">
        <v>370</v>
      </c>
    </row>
    <row r="397" spans="1:9" x14ac:dyDescent="0.25">
      <c r="A397" t="s">
        <v>23</v>
      </c>
      <c r="B397" t="s">
        <v>26</v>
      </c>
      <c r="C397" t="s">
        <v>35</v>
      </c>
      <c r="D397" s="1">
        <v>44706</v>
      </c>
      <c r="E397" s="1" t="str">
        <f>TEXT(Sales[[#This Row],[Date]],"mmm")</f>
        <v>May</v>
      </c>
      <c r="F397" s="1" t="str">
        <f t="shared" si="12"/>
        <v>2022</v>
      </c>
      <c r="G397" s="1" t="str">
        <f t="shared" si="13"/>
        <v>Wed</v>
      </c>
      <c r="H397" s="7">
        <v>16233</v>
      </c>
      <c r="I397" s="6">
        <v>138</v>
      </c>
    </row>
    <row r="398" spans="1:9" x14ac:dyDescent="0.25">
      <c r="A398" t="s">
        <v>36</v>
      </c>
      <c r="B398" t="s">
        <v>21</v>
      </c>
      <c r="C398" t="s">
        <v>56</v>
      </c>
      <c r="D398" s="1">
        <v>44614</v>
      </c>
      <c r="E398" s="1" t="str">
        <f>TEXT(Sales[[#This Row],[Date]],"mmm")</f>
        <v>Feb</v>
      </c>
      <c r="F398" s="1" t="str">
        <f t="shared" si="12"/>
        <v>2022</v>
      </c>
      <c r="G398" s="1" t="str">
        <f t="shared" si="13"/>
        <v>Tue</v>
      </c>
      <c r="H398" s="7">
        <v>5313</v>
      </c>
      <c r="I398" s="6">
        <v>215</v>
      </c>
    </row>
    <row r="399" spans="1:9" x14ac:dyDescent="0.25">
      <c r="A399" t="s">
        <v>9</v>
      </c>
      <c r="B399" t="s">
        <v>7</v>
      </c>
      <c r="C399" t="s">
        <v>11</v>
      </c>
      <c r="D399" s="1">
        <v>44753</v>
      </c>
      <c r="E399" s="1" t="str">
        <f>TEXT(Sales[[#This Row],[Date]],"mmm")</f>
        <v>Jul</v>
      </c>
      <c r="F399" s="1" t="str">
        <f t="shared" si="12"/>
        <v>2022</v>
      </c>
      <c r="G399" s="1" t="str">
        <f t="shared" si="13"/>
        <v>Mon</v>
      </c>
      <c r="H399" s="7">
        <v>3577</v>
      </c>
      <c r="I399" s="6">
        <v>134</v>
      </c>
    </row>
    <row r="400" spans="1:9" x14ac:dyDescent="0.25">
      <c r="A400" t="s">
        <v>33</v>
      </c>
      <c r="B400" t="s">
        <v>29</v>
      </c>
      <c r="C400" t="s">
        <v>39</v>
      </c>
      <c r="D400" s="1">
        <v>44564</v>
      </c>
      <c r="E400" s="1" t="str">
        <f>TEXT(Sales[[#This Row],[Date]],"mmm")</f>
        <v>Jan</v>
      </c>
      <c r="F400" s="1" t="str">
        <f t="shared" si="12"/>
        <v>2022</v>
      </c>
      <c r="G400" s="1" t="str">
        <f t="shared" si="13"/>
        <v>Mon</v>
      </c>
      <c r="H400" s="7">
        <v>3528</v>
      </c>
      <c r="I400" s="6">
        <v>336</v>
      </c>
    </row>
    <row r="401" spans="1:9" x14ac:dyDescent="0.25">
      <c r="A401" t="s">
        <v>24</v>
      </c>
      <c r="B401" t="s">
        <v>21</v>
      </c>
      <c r="C401" t="s">
        <v>58</v>
      </c>
      <c r="D401" s="1">
        <v>44797</v>
      </c>
      <c r="E401" s="1" t="str">
        <f>TEXT(Sales[[#This Row],[Date]],"mmm")</f>
        <v>Aug</v>
      </c>
      <c r="F401" s="1" t="str">
        <f t="shared" si="12"/>
        <v>2022</v>
      </c>
      <c r="G401" s="1" t="str">
        <f t="shared" si="13"/>
        <v>Wed</v>
      </c>
      <c r="H401" s="7">
        <v>679</v>
      </c>
      <c r="I401" s="6">
        <v>280</v>
      </c>
    </row>
    <row r="402" spans="1:9" x14ac:dyDescent="0.25">
      <c r="A402" t="s">
        <v>34</v>
      </c>
      <c r="B402" t="s">
        <v>26</v>
      </c>
      <c r="C402" t="s">
        <v>22</v>
      </c>
      <c r="D402" s="1">
        <v>44770</v>
      </c>
      <c r="E402" s="1" t="str">
        <f>TEXT(Sales[[#This Row],[Date]],"mmm")</f>
        <v>Jul</v>
      </c>
      <c r="F402" s="1" t="str">
        <f t="shared" si="12"/>
        <v>2022</v>
      </c>
      <c r="G402" s="1" t="str">
        <f t="shared" si="13"/>
        <v>Thu</v>
      </c>
      <c r="H402" s="7">
        <v>2450</v>
      </c>
      <c r="I402" s="6">
        <v>352</v>
      </c>
    </row>
    <row r="403" spans="1:9" x14ac:dyDescent="0.25">
      <c r="A403" t="s">
        <v>23</v>
      </c>
      <c r="B403" t="s">
        <v>26</v>
      </c>
      <c r="C403" t="s">
        <v>8</v>
      </c>
      <c r="D403" s="1">
        <v>44706</v>
      </c>
      <c r="E403" s="1" t="str">
        <f>TEXT(Sales[[#This Row],[Date]],"mmm")</f>
        <v>May</v>
      </c>
      <c r="F403" s="1" t="str">
        <f t="shared" si="12"/>
        <v>2022</v>
      </c>
      <c r="G403" s="1" t="str">
        <f t="shared" si="13"/>
        <v>Wed</v>
      </c>
      <c r="H403" s="7">
        <v>10577</v>
      </c>
      <c r="I403" s="6">
        <v>150</v>
      </c>
    </row>
    <row r="404" spans="1:9" x14ac:dyDescent="0.25">
      <c r="A404" t="s">
        <v>31</v>
      </c>
      <c r="B404" t="s">
        <v>21</v>
      </c>
      <c r="C404" t="s">
        <v>30</v>
      </c>
      <c r="D404" s="1">
        <v>44687</v>
      </c>
      <c r="E404" s="1" t="str">
        <f>TEXT(Sales[[#This Row],[Date]],"mmm")</f>
        <v>May</v>
      </c>
      <c r="F404" s="1" t="str">
        <f t="shared" si="12"/>
        <v>2022</v>
      </c>
      <c r="G404" s="1" t="str">
        <f t="shared" si="13"/>
        <v>Fri</v>
      </c>
      <c r="H404" s="7">
        <v>2597</v>
      </c>
      <c r="I404" s="6">
        <v>177</v>
      </c>
    </row>
    <row r="405" spans="1:9" x14ac:dyDescent="0.25">
      <c r="A405" t="s">
        <v>25</v>
      </c>
      <c r="B405" t="s">
        <v>10</v>
      </c>
      <c r="C405" t="s">
        <v>32</v>
      </c>
      <c r="D405" s="1">
        <v>44589</v>
      </c>
      <c r="E405" s="1" t="str">
        <f>TEXT(Sales[[#This Row],[Date]],"mmm")</f>
        <v>Jan</v>
      </c>
      <c r="F405" s="1" t="str">
        <f t="shared" si="12"/>
        <v>2022</v>
      </c>
      <c r="G405" s="1" t="str">
        <f t="shared" si="13"/>
        <v>Fri</v>
      </c>
      <c r="H405" s="7">
        <v>2219</v>
      </c>
      <c r="I405" s="6">
        <v>142</v>
      </c>
    </row>
    <row r="406" spans="1:9" x14ac:dyDescent="0.25">
      <c r="A406" t="s">
        <v>33</v>
      </c>
      <c r="B406" t="s">
        <v>7</v>
      </c>
      <c r="C406" t="s">
        <v>27</v>
      </c>
      <c r="D406" s="1">
        <v>44718</v>
      </c>
      <c r="E406" s="1" t="str">
        <f>TEXT(Sales[[#This Row],[Date]],"mmm")</f>
        <v>Jun</v>
      </c>
      <c r="F406" s="1" t="str">
        <f t="shared" si="12"/>
        <v>2022</v>
      </c>
      <c r="G406" s="1" t="str">
        <f t="shared" si="13"/>
        <v>Mon</v>
      </c>
      <c r="H406" s="7">
        <v>11319</v>
      </c>
      <c r="I406" s="6">
        <v>12</v>
      </c>
    </row>
    <row r="407" spans="1:9" x14ac:dyDescent="0.25">
      <c r="A407" t="s">
        <v>23</v>
      </c>
      <c r="B407" t="s">
        <v>21</v>
      </c>
      <c r="C407" t="s">
        <v>56</v>
      </c>
      <c r="D407" s="1">
        <v>44754</v>
      </c>
      <c r="E407" s="1" t="str">
        <f>TEXT(Sales[[#This Row],[Date]],"mmm")</f>
        <v>Jul</v>
      </c>
      <c r="F407" s="1" t="str">
        <f t="shared" si="12"/>
        <v>2022</v>
      </c>
      <c r="G407" s="1" t="str">
        <f t="shared" si="13"/>
        <v>Tue</v>
      </c>
      <c r="H407" s="7">
        <v>5978</v>
      </c>
      <c r="I407" s="6">
        <v>24</v>
      </c>
    </row>
    <row r="408" spans="1:9" x14ac:dyDescent="0.25">
      <c r="A408" t="s">
        <v>55</v>
      </c>
      <c r="B408" t="s">
        <v>29</v>
      </c>
      <c r="C408" t="s">
        <v>39</v>
      </c>
      <c r="D408" s="1">
        <v>44778</v>
      </c>
      <c r="E408" s="1" t="str">
        <f>TEXT(Sales[[#This Row],[Date]],"mmm")</f>
        <v>Aug</v>
      </c>
      <c r="F408" s="1" t="str">
        <f t="shared" si="12"/>
        <v>2022</v>
      </c>
      <c r="G408" s="1" t="str">
        <f t="shared" si="13"/>
        <v>Fri</v>
      </c>
      <c r="H408" s="7">
        <v>5327</v>
      </c>
      <c r="I408" s="6">
        <v>183</v>
      </c>
    </row>
    <row r="409" spans="1:9" x14ac:dyDescent="0.25">
      <c r="A409" t="s">
        <v>23</v>
      </c>
      <c r="B409" t="s">
        <v>26</v>
      </c>
      <c r="C409" t="s">
        <v>27</v>
      </c>
      <c r="D409" s="1">
        <v>44589</v>
      </c>
      <c r="E409" s="1" t="str">
        <f>TEXT(Sales[[#This Row],[Date]],"mmm")</f>
        <v>Jan</v>
      </c>
      <c r="F409" s="1" t="str">
        <f t="shared" si="12"/>
        <v>2022</v>
      </c>
      <c r="G409" s="1" t="str">
        <f t="shared" si="13"/>
        <v>Fri</v>
      </c>
      <c r="H409" s="7">
        <v>6020</v>
      </c>
      <c r="I409" s="6">
        <v>147</v>
      </c>
    </row>
    <row r="410" spans="1:9" x14ac:dyDescent="0.25">
      <c r="A410" t="s">
        <v>41</v>
      </c>
      <c r="B410" t="s">
        <v>10</v>
      </c>
      <c r="C410" t="s">
        <v>39</v>
      </c>
      <c r="D410" s="1">
        <v>44804</v>
      </c>
      <c r="E410" s="1" t="str">
        <f>TEXT(Sales[[#This Row],[Date]],"mmm")</f>
        <v>Aug</v>
      </c>
      <c r="F410" s="1" t="str">
        <f t="shared" si="12"/>
        <v>2022</v>
      </c>
      <c r="G410" s="1" t="str">
        <f t="shared" si="13"/>
        <v>Wed</v>
      </c>
      <c r="H410" s="7">
        <v>5614</v>
      </c>
      <c r="I410" s="6">
        <v>137</v>
      </c>
    </row>
    <row r="411" spans="1:9" x14ac:dyDescent="0.25">
      <c r="A411" t="s">
        <v>28</v>
      </c>
      <c r="B411" t="s">
        <v>26</v>
      </c>
      <c r="C411" t="s">
        <v>22</v>
      </c>
      <c r="D411" s="1">
        <v>44670</v>
      </c>
      <c r="E411" s="1" t="str">
        <f>TEXT(Sales[[#This Row],[Date]],"mmm")</f>
        <v>Apr</v>
      </c>
      <c r="F411" s="1" t="str">
        <f t="shared" si="12"/>
        <v>2022</v>
      </c>
      <c r="G411" s="1" t="str">
        <f t="shared" si="13"/>
        <v>Tue</v>
      </c>
      <c r="H411" s="7">
        <v>1736</v>
      </c>
      <c r="I411" s="6">
        <v>13</v>
      </c>
    </row>
    <row r="412" spans="1:9" x14ac:dyDescent="0.25">
      <c r="A412" t="s">
        <v>28</v>
      </c>
      <c r="B412" t="s">
        <v>7</v>
      </c>
      <c r="C412" t="s">
        <v>8</v>
      </c>
      <c r="D412" s="1">
        <v>44741</v>
      </c>
      <c r="E412" s="1" t="str">
        <f>TEXT(Sales[[#This Row],[Date]],"mmm")</f>
        <v>Jun</v>
      </c>
      <c r="F412" s="1" t="str">
        <f t="shared" si="12"/>
        <v>2022</v>
      </c>
      <c r="G412" s="1" t="str">
        <f t="shared" si="13"/>
        <v>Wed</v>
      </c>
      <c r="H412" s="7">
        <v>6384</v>
      </c>
      <c r="I412" s="6">
        <v>2</v>
      </c>
    </row>
    <row r="413" spans="1:9" x14ac:dyDescent="0.25">
      <c r="A413" t="s">
        <v>34</v>
      </c>
      <c r="B413" t="s">
        <v>10</v>
      </c>
      <c r="C413" t="s">
        <v>52</v>
      </c>
      <c r="D413" s="1">
        <v>44616</v>
      </c>
      <c r="E413" s="1" t="str">
        <f>TEXT(Sales[[#This Row],[Date]],"mmm")</f>
        <v>Feb</v>
      </c>
      <c r="F413" s="1" t="str">
        <f t="shared" si="12"/>
        <v>2022</v>
      </c>
      <c r="G413" s="1" t="str">
        <f t="shared" si="13"/>
        <v>Thu</v>
      </c>
      <c r="H413" s="7">
        <v>3577</v>
      </c>
      <c r="I413" s="6">
        <v>261</v>
      </c>
    </row>
    <row r="414" spans="1:9" x14ac:dyDescent="0.25">
      <c r="A414" t="s">
        <v>53</v>
      </c>
      <c r="B414" t="s">
        <v>7</v>
      </c>
      <c r="C414" t="s">
        <v>16</v>
      </c>
      <c r="D414" s="1">
        <v>44624</v>
      </c>
      <c r="E414" s="1" t="str">
        <f>TEXT(Sales[[#This Row],[Date]],"mmm")</f>
        <v>Mar</v>
      </c>
      <c r="F414" s="1" t="str">
        <f t="shared" si="12"/>
        <v>2022</v>
      </c>
      <c r="G414" s="1" t="str">
        <f t="shared" si="13"/>
        <v>Fri</v>
      </c>
      <c r="H414" s="7">
        <v>14539</v>
      </c>
      <c r="I414" s="6">
        <v>84</v>
      </c>
    </row>
    <row r="415" spans="1:9" x14ac:dyDescent="0.25">
      <c r="A415" t="s">
        <v>12</v>
      </c>
      <c r="B415" t="s">
        <v>10</v>
      </c>
      <c r="C415" t="s">
        <v>30</v>
      </c>
      <c r="D415" s="1">
        <v>44733</v>
      </c>
      <c r="E415" s="1" t="str">
        <f>TEXT(Sales[[#This Row],[Date]],"mmm")</f>
        <v>Jun</v>
      </c>
      <c r="F415" s="1" t="str">
        <f t="shared" si="12"/>
        <v>2022</v>
      </c>
      <c r="G415" s="1" t="str">
        <f t="shared" si="13"/>
        <v>Tue</v>
      </c>
      <c r="H415" s="7">
        <v>3493</v>
      </c>
      <c r="I415" s="6">
        <v>68</v>
      </c>
    </row>
    <row r="416" spans="1:9" x14ac:dyDescent="0.25">
      <c r="A416" t="s">
        <v>24</v>
      </c>
      <c r="B416" t="s">
        <v>15</v>
      </c>
      <c r="C416" t="s">
        <v>35</v>
      </c>
      <c r="D416" s="1">
        <v>44587</v>
      </c>
      <c r="E416" s="1" t="str">
        <f>TEXT(Sales[[#This Row],[Date]],"mmm")</f>
        <v>Jan</v>
      </c>
      <c r="F416" s="1" t="str">
        <f t="shared" si="12"/>
        <v>2022</v>
      </c>
      <c r="G416" s="1" t="str">
        <f t="shared" si="13"/>
        <v>Wed</v>
      </c>
      <c r="H416" s="7">
        <v>994</v>
      </c>
      <c r="I416" s="6">
        <v>105</v>
      </c>
    </row>
    <row r="417" spans="1:9" x14ac:dyDescent="0.25">
      <c r="A417" t="s">
        <v>17</v>
      </c>
      <c r="B417" t="s">
        <v>21</v>
      </c>
      <c r="C417" t="s">
        <v>44</v>
      </c>
      <c r="D417" s="1">
        <v>44722</v>
      </c>
      <c r="E417" s="1" t="str">
        <f>TEXT(Sales[[#This Row],[Date]],"mmm")</f>
        <v>Jun</v>
      </c>
      <c r="F417" s="1" t="str">
        <f t="shared" si="12"/>
        <v>2022</v>
      </c>
      <c r="G417" s="1" t="str">
        <f t="shared" si="13"/>
        <v>Fri</v>
      </c>
      <c r="H417" s="7">
        <v>4361</v>
      </c>
      <c r="I417" s="6">
        <v>40</v>
      </c>
    </row>
    <row r="418" spans="1:9" x14ac:dyDescent="0.25">
      <c r="A418" t="s">
        <v>48</v>
      </c>
      <c r="B418" t="s">
        <v>7</v>
      </c>
      <c r="C418" t="s">
        <v>32</v>
      </c>
      <c r="D418" s="1">
        <v>44704</v>
      </c>
      <c r="E418" s="1" t="str">
        <f>TEXT(Sales[[#This Row],[Date]],"mmm")</f>
        <v>May</v>
      </c>
      <c r="F418" s="1" t="str">
        <f t="shared" si="12"/>
        <v>2022</v>
      </c>
      <c r="G418" s="1" t="str">
        <f t="shared" si="13"/>
        <v>Mon</v>
      </c>
      <c r="H418" s="7">
        <v>1554</v>
      </c>
      <c r="I418" s="6">
        <v>65</v>
      </c>
    </row>
    <row r="419" spans="1:9" x14ac:dyDescent="0.25">
      <c r="A419" t="s">
        <v>49</v>
      </c>
      <c r="B419" t="s">
        <v>10</v>
      </c>
      <c r="C419" t="s">
        <v>37</v>
      </c>
      <c r="D419" s="1">
        <v>44666</v>
      </c>
      <c r="E419" s="1" t="str">
        <f>TEXT(Sales[[#This Row],[Date]],"mmm")</f>
        <v>Apr</v>
      </c>
      <c r="F419" s="1" t="str">
        <f t="shared" si="12"/>
        <v>2022</v>
      </c>
      <c r="G419" s="1" t="str">
        <f t="shared" si="13"/>
        <v>Fri</v>
      </c>
      <c r="H419" s="7">
        <v>966</v>
      </c>
      <c r="I419" s="6">
        <v>107</v>
      </c>
    </row>
    <row r="420" spans="1:9" x14ac:dyDescent="0.25">
      <c r="A420" t="s">
        <v>31</v>
      </c>
      <c r="B420" t="s">
        <v>21</v>
      </c>
      <c r="C420" t="s">
        <v>57</v>
      </c>
      <c r="D420" s="1">
        <v>44592</v>
      </c>
      <c r="E420" s="1" t="str">
        <f>TEXT(Sales[[#This Row],[Date]],"mmm")</f>
        <v>Jan</v>
      </c>
      <c r="F420" s="1" t="str">
        <f t="shared" si="12"/>
        <v>2022</v>
      </c>
      <c r="G420" s="1" t="str">
        <f t="shared" si="13"/>
        <v>Mon</v>
      </c>
      <c r="H420" s="7">
        <v>5334</v>
      </c>
      <c r="I420" s="6">
        <v>227</v>
      </c>
    </row>
    <row r="421" spans="1:9" x14ac:dyDescent="0.25">
      <c r="A421" t="s">
        <v>48</v>
      </c>
      <c r="B421" t="s">
        <v>21</v>
      </c>
      <c r="C421" t="s">
        <v>35</v>
      </c>
      <c r="D421" s="1">
        <v>44624</v>
      </c>
      <c r="E421" s="1" t="str">
        <f>TEXT(Sales[[#This Row],[Date]],"mmm")</f>
        <v>Mar</v>
      </c>
      <c r="F421" s="1" t="str">
        <f t="shared" si="12"/>
        <v>2022</v>
      </c>
      <c r="G421" s="1" t="str">
        <f t="shared" si="13"/>
        <v>Fri</v>
      </c>
      <c r="H421" s="7">
        <v>4935</v>
      </c>
      <c r="I421" s="6">
        <v>39</v>
      </c>
    </row>
    <row r="422" spans="1:9" x14ac:dyDescent="0.25">
      <c r="A422" t="s">
        <v>25</v>
      </c>
      <c r="B422" t="s">
        <v>21</v>
      </c>
      <c r="C422" t="s">
        <v>20</v>
      </c>
      <c r="D422" s="1">
        <v>44670</v>
      </c>
      <c r="E422" s="1" t="str">
        <f>TEXT(Sales[[#This Row],[Date]],"mmm")</f>
        <v>Apr</v>
      </c>
      <c r="F422" s="1" t="str">
        <f t="shared" si="12"/>
        <v>2022</v>
      </c>
      <c r="G422" s="1" t="str">
        <f t="shared" si="13"/>
        <v>Tue</v>
      </c>
      <c r="H422" s="7">
        <v>10024</v>
      </c>
      <c r="I422" s="6">
        <v>84</v>
      </c>
    </row>
    <row r="423" spans="1:9" x14ac:dyDescent="0.25">
      <c r="A423" t="s">
        <v>34</v>
      </c>
      <c r="B423" t="s">
        <v>7</v>
      </c>
      <c r="C423" t="s">
        <v>47</v>
      </c>
      <c r="D423" s="1">
        <v>44697</v>
      </c>
      <c r="E423" s="1" t="str">
        <f>TEXT(Sales[[#This Row],[Date]],"mmm")</f>
        <v>May</v>
      </c>
      <c r="F423" s="1" t="str">
        <f t="shared" si="12"/>
        <v>2022</v>
      </c>
      <c r="G423" s="1" t="str">
        <f t="shared" si="13"/>
        <v>Mon</v>
      </c>
      <c r="H423" s="7">
        <v>2506</v>
      </c>
      <c r="I423" s="6">
        <v>100</v>
      </c>
    </row>
    <row r="424" spans="1:9" x14ac:dyDescent="0.25">
      <c r="A424" t="s">
        <v>17</v>
      </c>
      <c r="B424" t="s">
        <v>15</v>
      </c>
      <c r="C424" t="s">
        <v>51</v>
      </c>
      <c r="D424" s="1">
        <v>44609</v>
      </c>
      <c r="E424" s="1" t="str">
        <f>TEXT(Sales[[#This Row],[Date]],"mmm")</f>
        <v>Feb</v>
      </c>
      <c r="F424" s="1" t="str">
        <f t="shared" si="12"/>
        <v>2022</v>
      </c>
      <c r="G424" s="1" t="str">
        <f t="shared" si="13"/>
        <v>Thu</v>
      </c>
      <c r="H424" s="7">
        <v>1043</v>
      </c>
      <c r="I424" s="6">
        <v>120</v>
      </c>
    </row>
    <row r="425" spans="1:9" x14ac:dyDescent="0.25">
      <c r="A425" t="s">
        <v>43</v>
      </c>
      <c r="B425" t="s">
        <v>26</v>
      </c>
      <c r="C425" t="s">
        <v>51</v>
      </c>
      <c r="D425" s="1">
        <v>44579</v>
      </c>
      <c r="E425" s="1" t="str">
        <f>TEXT(Sales[[#This Row],[Date]],"mmm")</f>
        <v>Jan</v>
      </c>
      <c r="F425" s="1" t="str">
        <f t="shared" si="12"/>
        <v>2022</v>
      </c>
      <c r="G425" s="1" t="str">
        <f t="shared" si="13"/>
        <v>Tue</v>
      </c>
      <c r="H425" s="7">
        <v>6524</v>
      </c>
      <c r="I425" s="6">
        <v>257</v>
      </c>
    </row>
    <row r="426" spans="1:9" x14ac:dyDescent="0.25">
      <c r="A426" t="s">
        <v>36</v>
      </c>
      <c r="B426" t="s">
        <v>29</v>
      </c>
      <c r="C426" t="s">
        <v>27</v>
      </c>
      <c r="D426" s="1">
        <v>44601</v>
      </c>
      <c r="E426" s="1" t="str">
        <f>TEXT(Sales[[#This Row],[Date]],"mmm")</f>
        <v>Feb</v>
      </c>
      <c r="F426" s="1" t="str">
        <f t="shared" si="12"/>
        <v>2022</v>
      </c>
      <c r="G426" s="1" t="str">
        <f t="shared" si="13"/>
        <v>Wed</v>
      </c>
      <c r="H426" s="7">
        <v>8148</v>
      </c>
      <c r="I426" s="6">
        <v>85</v>
      </c>
    </row>
    <row r="427" spans="1:9" x14ac:dyDescent="0.25">
      <c r="A427" t="s">
        <v>28</v>
      </c>
      <c r="B427" t="s">
        <v>29</v>
      </c>
      <c r="C427" t="s">
        <v>27</v>
      </c>
      <c r="D427" s="1">
        <v>44643</v>
      </c>
      <c r="E427" s="1" t="str">
        <f>TEXT(Sales[[#This Row],[Date]],"mmm")</f>
        <v>Mar</v>
      </c>
      <c r="F427" s="1" t="str">
        <f t="shared" si="12"/>
        <v>2022</v>
      </c>
      <c r="G427" s="1" t="str">
        <f t="shared" si="13"/>
        <v>Wed</v>
      </c>
      <c r="H427" s="7">
        <v>3577</v>
      </c>
      <c r="I427" s="6">
        <v>178</v>
      </c>
    </row>
    <row r="428" spans="1:9" x14ac:dyDescent="0.25">
      <c r="A428" t="s">
        <v>53</v>
      </c>
      <c r="B428" t="s">
        <v>21</v>
      </c>
      <c r="C428" t="s">
        <v>57</v>
      </c>
      <c r="D428" s="1">
        <v>44593</v>
      </c>
      <c r="E428" s="1" t="str">
        <f>TEXT(Sales[[#This Row],[Date]],"mmm")</f>
        <v>Feb</v>
      </c>
      <c r="F428" s="1" t="str">
        <f t="shared" si="12"/>
        <v>2022</v>
      </c>
      <c r="G428" s="1" t="str">
        <f t="shared" si="13"/>
        <v>Tue</v>
      </c>
      <c r="H428" s="7">
        <v>3374</v>
      </c>
      <c r="I428" s="6">
        <v>151</v>
      </c>
    </row>
    <row r="429" spans="1:9" x14ac:dyDescent="0.25">
      <c r="A429" t="s">
        <v>28</v>
      </c>
      <c r="B429" t="s">
        <v>10</v>
      </c>
      <c r="C429" t="s">
        <v>32</v>
      </c>
      <c r="D429" s="1">
        <v>44627</v>
      </c>
      <c r="E429" s="1" t="str">
        <f>TEXT(Sales[[#This Row],[Date]],"mmm")</f>
        <v>Mar</v>
      </c>
      <c r="F429" s="1" t="str">
        <f t="shared" si="12"/>
        <v>2022</v>
      </c>
      <c r="G429" s="1" t="str">
        <f t="shared" si="13"/>
        <v>Mon</v>
      </c>
      <c r="H429" s="7">
        <v>3948</v>
      </c>
      <c r="I429" s="6">
        <v>142</v>
      </c>
    </row>
    <row r="430" spans="1:9" x14ac:dyDescent="0.25">
      <c r="A430" t="s">
        <v>55</v>
      </c>
      <c r="B430" t="s">
        <v>7</v>
      </c>
      <c r="C430" t="s">
        <v>44</v>
      </c>
      <c r="D430" s="1">
        <v>44564</v>
      </c>
      <c r="E430" s="1" t="str">
        <f>TEXT(Sales[[#This Row],[Date]],"mmm")</f>
        <v>Jan</v>
      </c>
      <c r="F430" s="1" t="str">
        <f t="shared" si="12"/>
        <v>2022</v>
      </c>
      <c r="G430" s="1" t="str">
        <f t="shared" si="13"/>
        <v>Mon</v>
      </c>
      <c r="H430" s="7">
        <v>3269</v>
      </c>
      <c r="I430" s="6">
        <v>226</v>
      </c>
    </row>
    <row r="431" spans="1:9" x14ac:dyDescent="0.25">
      <c r="A431" t="s">
        <v>55</v>
      </c>
      <c r="B431" t="s">
        <v>26</v>
      </c>
      <c r="C431" t="s">
        <v>44</v>
      </c>
      <c r="D431" s="1">
        <v>44603</v>
      </c>
      <c r="E431" s="1" t="str">
        <f>TEXT(Sales[[#This Row],[Date]],"mmm")</f>
        <v>Feb</v>
      </c>
      <c r="F431" s="1" t="str">
        <f t="shared" si="12"/>
        <v>2022</v>
      </c>
      <c r="G431" s="1" t="str">
        <f t="shared" si="13"/>
        <v>Fri</v>
      </c>
      <c r="H431" s="7">
        <v>5271</v>
      </c>
      <c r="I431" s="6">
        <v>341</v>
      </c>
    </row>
    <row r="432" spans="1:9" x14ac:dyDescent="0.25">
      <c r="A432" t="s">
        <v>43</v>
      </c>
      <c r="B432" t="s">
        <v>21</v>
      </c>
      <c r="C432" t="s">
        <v>27</v>
      </c>
      <c r="D432" s="1">
        <v>44636</v>
      </c>
      <c r="E432" s="1" t="str">
        <f>TEXT(Sales[[#This Row],[Date]],"mmm")</f>
        <v>Mar</v>
      </c>
      <c r="F432" s="1" t="str">
        <f t="shared" si="12"/>
        <v>2022</v>
      </c>
      <c r="G432" s="1" t="str">
        <f t="shared" si="13"/>
        <v>Wed</v>
      </c>
      <c r="H432" s="7">
        <v>4571</v>
      </c>
      <c r="I432" s="6">
        <v>140</v>
      </c>
    </row>
    <row r="433" spans="1:9" x14ac:dyDescent="0.25">
      <c r="A433" t="s">
        <v>54</v>
      </c>
      <c r="B433" t="s">
        <v>10</v>
      </c>
      <c r="C433" t="s">
        <v>44</v>
      </c>
      <c r="D433" s="1">
        <v>44788</v>
      </c>
      <c r="E433" s="1" t="str">
        <f>TEXT(Sales[[#This Row],[Date]],"mmm")</f>
        <v>Aug</v>
      </c>
      <c r="F433" s="1" t="str">
        <f t="shared" si="12"/>
        <v>2022</v>
      </c>
      <c r="G433" s="1" t="str">
        <f t="shared" si="13"/>
        <v>Mon</v>
      </c>
      <c r="H433" s="7">
        <v>12327</v>
      </c>
      <c r="I433" s="6">
        <v>330</v>
      </c>
    </row>
    <row r="434" spans="1:9" x14ac:dyDescent="0.25">
      <c r="A434" t="s">
        <v>12</v>
      </c>
      <c r="B434" t="s">
        <v>10</v>
      </c>
      <c r="C434" t="s">
        <v>45</v>
      </c>
      <c r="D434" s="1">
        <v>44693</v>
      </c>
      <c r="E434" s="1" t="str">
        <f>TEXT(Sales[[#This Row],[Date]],"mmm")</f>
        <v>May</v>
      </c>
      <c r="F434" s="1" t="str">
        <f t="shared" si="12"/>
        <v>2022</v>
      </c>
      <c r="G434" s="1" t="str">
        <f t="shared" si="13"/>
        <v>Thu</v>
      </c>
      <c r="H434" s="7">
        <v>4935</v>
      </c>
      <c r="I434" s="6">
        <v>73</v>
      </c>
    </row>
    <row r="435" spans="1:9" x14ac:dyDescent="0.25">
      <c r="A435" t="s">
        <v>9</v>
      </c>
      <c r="B435" t="s">
        <v>10</v>
      </c>
      <c r="C435" t="s">
        <v>39</v>
      </c>
      <c r="D435" s="1">
        <v>44662</v>
      </c>
      <c r="E435" s="1" t="str">
        <f>TEXT(Sales[[#This Row],[Date]],"mmm")</f>
        <v>Apr</v>
      </c>
      <c r="F435" s="1" t="str">
        <f t="shared" si="12"/>
        <v>2022</v>
      </c>
      <c r="G435" s="1" t="str">
        <f t="shared" si="13"/>
        <v>Mon</v>
      </c>
      <c r="H435" s="7">
        <v>6167</v>
      </c>
      <c r="I435" s="6">
        <v>4</v>
      </c>
    </row>
    <row r="436" spans="1:9" x14ac:dyDescent="0.25">
      <c r="A436" t="s">
        <v>14</v>
      </c>
      <c r="B436" t="s">
        <v>21</v>
      </c>
      <c r="C436" t="s">
        <v>8</v>
      </c>
      <c r="D436" s="1">
        <v>44742</v>
      </c>
      <c r="E436" s="1" t="str">
        <f>TEXT(Sales[[#This Row],[Date]],"mmm")</f>
        <v>Jun</v>
      </c>
      <c r="F436" s="1" t="str">
        <f t="shared" si="12"/>
        <v>2022</v>
      </c>
      <c r="G436" s="1" t="str">
        <f t="shared" si="13"/>
        <v>Thu</v>
      </c>
      <c r="H436" s="7">
        <v>18340</v>
      </c>
      <c r="I436" s="6">
        <v>285</v>
      </c>
    </row>
    <row r="437" spans="1:9" x14ac:dyDescent="0.25">
      <c r="A437" t="s">
        <v>54</v>
      </c>
      <c r="B437" t="s">
        <v>21</v>
      </c>
      <c r="C437" t="s">
        <v>44</v>
      </c>
      <c r="D437" s="1">
        <v>44727</v>
      </c>
      <c r="E437" s="1" t="str">
        <f>TEXT(Sales[[#This Row],[Date]],"mmm")</f>
        <v>Jun</v>
      </c>
      <c r="F437" s="1" t="str">
        <f t="shared" si="12"/>
        <v>2022</v>
      </c>
      <c r="G437" s="1" t="str">
        <f t="shared" si="13"/>
        <v>Wed</v>
      </c>
      <c r="H437" s="7">
        <v>7014</v>
      </c>
      <c r="I437" s="6">
        <v>60</v>
      </c>
    </row>
    <row r="438" spans="1:9" x14ac:dyDescent="0.25">
      <c r="A438" t="s">
        <v>24</v>
      </c>
      <c r="B438" t="s">
        <v>29</v>
      </c>
      <c r="C438" t="s">
        <v>57</v>
      </c>
      <c r="D438" s="1">
        <v>44774</v>
      </c>
      <c r="E438" s="1" t="str">
        <f>TEXT(Sales[[#This Row],[Date]],"mmm")</f>
        <v>Aug</v>
      </c>
      <c r="F438" s="1" t="str">
        <f t="shared" si="12"/>
        <v>2022</v>
      </c>
      <c r="G438" s="1" t="str">
        <f t="shared" si="13"/>
        <v>Mon</v>
      </c>
      <c r="H438" s="7">
        <v>7119</v>
      </c>
      <c r="I438" s="6">
        <v>101</v>
      </c>
    </row>
    <row r="439" spans="1:9" x14ac:dyDescent="0.25">
      <c r="A439" t="s">
        <v>41</v>
      </c>
      <c r="B439" t="s">
        <v>26</v>
      </c>
      <c r="C439" t="s">
        <v>37</v>
      </c>
      <c r="D439" s="1">
        <v>44727</v>
      </c>
      <c r="E439" s="1" t="str">
        <f>TEXT(Sales[[#This Row],[Date]],"mmm")</f>
        <v>Jun</v>
      </c>
      <c r="F439" s="1" t="str">
        <f t="shared" si="12"/>
        <v>2022</v>
      </c>
      <c r="G439" s="1" t="str">
        <f t="shared" si="13"/>
        <v>Wed</v>
      </c>
      <c r="H439" s="7">
        <v>15491</v>
      </c>
      <c r="I439" s="6">
        <v>58</v>
      </c>
    </row>
    <row r="440" spans="1:9" x14ac:dyDescent="0.25">
      <c r="A440" t="s">
        <v>23</v>
      </c>
      <c r="B440" t="s">
        <v>10</v>
      </c>
      <c r="C440" t="s">
        <v>20</v>
      </c>
      <c r="D440" s="1">
        <v>44728</v>
      </c>
      <c r="E440" s="1" t="str">
        <f>TEXT(Sales[[#This Row],[Date]],"mmm")</f>
        <v>Jun</v>
      </c>
      <c r="F440" s="1" t="str">
        <f t="shared" si="12"/>
        <v>2022</v>
      </c>
      <c r="G440" s="1" t="str">
        <f t="shared" si="13"/>
        <v>Thu</v>
      </c>
      <c r="H440" s="7">
        <v>5747</v>
      </c>
      <c r="I440" s="6">
        <v>45</v>
      </c>
    </row>
    <row r="441" spans="1:9" x14ac:dyDescent="0.25">
      <c r="A441" t="s">
        <v>17</v>
      </c>
      <c r="B441" t="s">
        <v>21</v>
      </c>
      <c r="C441" t="s">
        <v>51</v>
      </c>
      <c r="D441" s="1">
        <v>44694</v>
      </c>
      <c r="E441" s="1" t="str">
        <f>TEXT(Sales[[#This Row],[Date]],"mmm")</f>
        <v>May</v>
      </c>
      <c r="F441" s="1" t="str">
        <f t="shared" si="12"/>
        <v>2022</v>
      </c>
      <c r="G441" s="1" t="str">
        <f t="shared" si="13"/>
        <v>Fri</v>
      </c>
      <c r="H441" s="7">
        <v>4550</v>
      </c>
      <c r="I441" s="6">
        <v>281</v>
      </c>
    </row>
    <row r="442" spans="1:9" x14ac:dyDescent="0.25">
      <c r="A442" t="s">
        <v>43</v>
      </c>
      <c r="B442" t="s">
        <v>26</v>
      </c>
      <c r="C442" t="s">
        <v>32</v>
      </c>
      <c r="D442" s="1">
        <v>44691</v>
      </c>
      <c r="E442" s="1" t="str">
        <f>TEXT(Sales[[#This Row],[Date]],"mmm")</f>
        <v>May</v>
      </c>
      <c r="F442" s="1" t="str">
        <f t="shared" si="12"/>
        <v>2022</v>
      </c>
      <c r="G442" s="1" t="str">
        <f t="shared" si="13"/>
        <v>Tue</v>
      </c>
      <c r="H442" s="7">
        <v>2191</v>
      </c>
      <c r="I442" s="6">
        <v>138</v>
      </c>
    </row>
    <row r="443" spans="1:9" x14ac:dyDescent="0.25">
      <c r="A443" t="s">
        <v>17</v>
      </c>
      <c r="B443" t="s">
        <v>10</v>
      </c>
      <c r="C443" t="s">
        <v>30</v>
      </c>
      <c r="D443" s="1">
        <v>44798</v>
      </c>
      <c r="E443" s="1" t="str">
        <f>TEXT(Sales[[#This Row],[Date]],"mmm")</f>
        <v>Aug</v>
      </c>
      <c r="F443" s="1" t="str">
        <f t="shared" si="12"/>
        <v>2022</v>
      </c>
      <c r="G443" s="1" t="str">
        <f t="shared" si="13"/>
        <v>Thu</v>
      </c>
      <c r="H443" s="7">
        <v>5663</v>
      </c>
      <c r="I443" s="6">
        <v>322</v>
      </c>
    </row>
    <row r="444" spans="1:9" x14ac:dyDescent="0.25">
      <c r="A444" t="s">
        <v>55</v>
      </c>
      <c r="B444" t="s">
        <v>21</v>
      </c>
      <c r="C444" t="s">
        <v>35</v>
      </c>
      <c r="D444" s="1">
        <v>44757</v>
      </c>
      <c r="E444" s="1" t="str">
        <f>TEXT(Sales[[#This Row],[Date]],"mmm")</f>
        <v>Jul</v>
      </c>
      <c r="F444" s="1" t="str">
        <f t="shared" si="12"/>
        <v>2022</v>
      </c>
      <c r="G444" s="1" t="str">
        <f t="shared" si="13"/>
        <v>Fri</v>
      </c>
      <c r="H444" s="7">
        <v>7623</v>
      </c>
      <c r="I444" s="6">
        <v>85</v>
      </c>
    </row>
    <row r="445" spans="1:9" x14ac:dyDescent="0.25">
      <c r="A445" t="s">
        <v>12</v>
      </c>
      <c r="B445" t="s">
        <v>7</v>
      </c>
      <c r="C445" t="s">
        <v>56</v>
      </c>
      <c r="D445" s="1">
        <v>44697</v>
      </c>
      <c r="E445" s="1" t="str">
        <f>TEXT(Sales[[#This Row],[Date]],"mmm")</f>
        <v>May</v>
      </c>
      <c r="F445" s="1" t="str">
        <f t="shared" si="12"/>
        <v>2022</v>
      </c>
      <c r="G445" s="1" t="str">
        <f t="shared" si="13"/>
        <v>Mon</v>
      </c>
      <c r="H445" s="7">
        <v>9023</v>
      </c>
      <c r="I445" s="6">
        <v>409</v>
      </c>
    </row>
    <row r="446" spans="1:9" x14ac:dyDescent="0.25">
      <c r="A446" t="s">
        <v>14</v>
      </c>
      <c r="B446" t="s">
        <v>15</v>
      </c>
      <c r="C446" t="s">
        <v>22</v>
      </c>
      <c r="D446" s="1">
        <v>44726</v>
      </c>
      <c r="E446" s="1" t="str">
        <f>TEXT(Sales[[#This Row],[Date]],"mmm")</f>
        <v>Jun</v>
      </c>
      <c r="F446" s="1" t="str">
        <f t="shared" si="12"/>
        <v>2022</v>
      </c>
      <c r="G446" s="1" t="str">
        <f t="shared" si="13"/>
        <v>Tue</v>
      </c>
      <c r="H446" s="7">
        <v>3402</v>
      </c>
      <c r="I446" s="6">
        <v>182</v>
      </c>
    </row>
    <row r="447" spans="1:9" x14ac:dyDescent="0.25">
      <c r="A447" t="s">
        <v>34</v>
      </c>
      <c r="B447" t="s">
        <v>15</v>
      </c>
      <c r="C447" t="s">
        <v>16</v>
      </c>
      <c r="D447" s="1">
        <v>44586</v>
      </c>
      <c r="E447" s="1" t="str">
        <f>TEXT(Sales[[#This Row],[Date]],"mmm")</f>
        <v>Jan</v>
      </c>
      <c r="F447" s="1" t="str">
        <f t="shared" si="12"/>
        <v>2022</v>
      </c>
      <c r="G447" s="1" t="str">
        <f t="shared" si="13"/>
        <v>Tue</v>
      </c>
      <c r="H447" s="7">
        <v>10507</v>
      </c>
      <c r="I447" s="6">
        <v>467</v>
      </c>
    </row>
    <row r="448" spans="1:9" x14ac:dyDescent="0.25">
      <c r="A448" t="s">
        <v>55</v>
      </c>
      <c r="B448" t="s">
        <v>26</v>
      </c>
      <c r="C448" t="s">
        <v>35</v>
      </c>
      <c r="D448" s="1">
        <v>44770</v>
      </c>
      <c r="E448" s="1" t="str">
        <f>TEXT(Sales[[#This Row],[Date]],"mmm")</f>
        <v>Jul</v>
      </c>
      <c r="F448" s="1" t="str">
        <f t="shared" si="12"/>
        <v>2022</v>
      </c>
      <c r="G448" s="1" t="str">
        <f t="shared" si="13"/>
        <v>Thu</v>
      </c>
      <c r="H448" s="7">
        <v>7721</v>
      </c>
      <c r="I448" s="6">
        <v>14</v>
      </c>
    </row>
    <row r="449" spans="1:9" x14ac:dyDescent="0.25">
      <c r="A449" t="s">
        <v>23</v>
      </c>
      <c r="B449" t="s">
        <v>29</v>
      </c>
      <c r="C449" t="s">
        <v>8</v>
      </c>
      <c r="D449" s="1">
        <v>44589</v>
      </c>
      <c r="E449" s="1" t="str">
        <f>TEXT(Sales[[#This Row],[Date]],"mmm")</f>
        <v>Jan</v>
      </c>
      <c r="F449" s="1" t="str">
        <f t="shared" si="12"/>
        <v>2022</v>
      </c>
      <c r="G449" s="1" t="str">
        <f t="shared" si="13"/>
        <v>Fri</v>
      </c>
      <c r="H449" s="7">
        <v>5033</v>
      </c>
      <c r="I449" s="6">
        <v>178</v>
      </c>
    </row>
    <row r="450" spans="1:9" x14ac:dyDescent="0.25">
      <c r="A450" t="s">
        <v>41</v>
      </c>
      <c r="B450" t="s">
        <v>7</v>
      </c>
      <c r="C450" t="s">
        <v>27</v>
      </c>
      <c r="D450" s="1">
        <v>44741</v>
      </c>
      <c r="E450" s="1" t="str">
        <f>TEXT(Sales[[#This Row],[Date]],"mmm")</f>
        <v>Jun</v>
      </c>
      <c r="F450" s="1" t="str">
        <f t="shared" ref="F450:F513" si="14">TEXT(D:D,"yyyy")</f>
        <v>2022</v>
      </c>
      <c r="G450" s="1" t="str">
        <f t="shared" ref="G450:G513" si="15">TEXT(D:D,"ddd")</f>
        <v>Wed</v>
      </c>
      <c r="H450" s="7">
        <v>1960</v>
      </c>
      <c r="I450" s="6">
        <v>191</v>
      </c>
    </row>
    <row r="451" spans="1:9" x14ac:dyDescent="0.25">
      <c r="A451" t="s">
        <v>31</v>
      </c>
      <c r="B451" t="s">
        <v>15</v>
      </c>
      <c r="C451" t="s">
        <v>58</v>
      </c>
      <c r="D451" s="1">
        <v>44736</v>
      </c>
      <c r="E451" s="1" t="str">
        <f>TEXT(Sales[[#This Row],[Date]],"mmm")</f>
        <v>Jun</v>
      </c>
      <c r="F451" s="1" t="str">
        <f t="shared" si="14"/>
        <v>2022</v>
      </c>
      <c r="G451" s="1" t="str">
        <f t="shared" si="15"/>
        <v>Fri</v>
      </c>
      <c r="H451" s="7">
        <v>238</v>
      </c>
      <c r="I451" s="6">
        <v>317</v>
      </c>
    </row>
    <row r="452" spans="1:9" x14ac:dyDescent="0.25">
      <c r="A452" t="s">
        <v>19</v>
      </c>
      <c r="B452" t="s">
        <v>29</v>
      </c>
      <c r="C452" t="s">
        <v>8</v>
      </c>
      <c r="D452" s="1">
        <v>44743</v>
      </c>
      <c r="E452" s="1" t="str">
        <f>TEXT(Sales[[#This Row],[Date]],"mmm")</f>
        <v>Jul</v>
      </c>
      <c r="F452" s="1" t="str">
        <f t="shared" si="14"/>
        <v>2022</v>
      </c>
      <c r="G452" s="1" t="str">
        <f t="shared" si="15"/>
        <v>Fri</v>
      </c>
      <c r="H452" s="7">
        <v>7756</v>
      </c>
      <c r="I452" s="6">
        <v>410</v>
      </c>
    </row>
    <row r="453" spans="1:9" x14ac:dyDescent="0.25">
      <c r="A453" t="s">
        <v>36</v>
      </c>
      <c r="B453" t="s">
        <v>26</v>
      </c>
      <c r="C453" t="s">
        <v>13</v>
      </c>
      <c r="D453" s="1">
        <v>44617</v>
      </c>
      <c r="E453" s="1" t="str">
        <f>TEXT(Sales[[#This Row],[Date]],"mmm")</f>
        <v>Feb</v>
      </c>
      <c r="F453" s="1" t="str">
        <f t="shared" si="14"/>
        <v>2022</v>
      </c>
      <c r="G453" s="1" t="str">
        <f t="shared" si="15"/>
        <v>Fri</v>
      </c>
      <c r="H453" s="7">
        <v>1736</v>
      </c>
      <c r="I453" s="6">
        <v>137</v>
      </c>
    </row>
    <row r="454" spans="1:9" x14ac:dyDescent="0.25">
      <c r="A454" t="s">
        <v>38</v>
      </c>
      <c r="B454" t="s">
        <v>29</v>
      </c>
      <c r="C454" t="s">
        <v>16</v>
      </c>
      <c r="D454" s="1">
        <v>44774</v>
      </c>
      <c r="E454" s="1" t="str">
        <f>TEXT(Sales[[#This Row],[Date]],"mmm")</f>
        <v>Aug</v>
      </c>
      <c r="F454" s="1" t="str">
        <f t="shared" si="14"/>
        <v>2022</v>
      </c>
      <c r="G454" s="1" t="str">
        <f t="shared" si="15"/>
        <v>Mon</v>
      </c>
      <c r="H454" s="7">
        <v>2660</v>
      </c>
      <c r="I454" s="6">
        <v>12</v>
      </c>
    </row>
    <row r="455" spans="1:9" x14ac:dyDescent="0.25">
      <c r="A455" t="s">
        <v>17</v>
      </c>
      <c r="B455" t="s">
        <v>15</v>
      </c>
      <c r="C455" t="s">
        <v>37</v>
      </c>
      <c r="D455" s="1">
        <v>44733</v>
      </c>
      <c r="E455" s="1" t="str">
        <f>TEXT(Sales[[#This Row],[Date]],"mmm")</f>
        <v>Jun</v>
      </c>
      <c r="F455" s="1" t="str">
        <f t="shared" si="14"/>
        <v>2022</v>
      </c>
      <c r="G455" s="1" t="str">
        <f t="shared" si="15"/>
        <v>Tue</v>
      </c>
      <c r="H455" s="7">
        <v>7672</v>
      </c>
      <c r="I455" s="6">
        <v>254</v>
      </c>
    </row>
    <row r="456" spans="1:9" x14ac:dyDescent="0.25">
      <c r="A456" t="s">
        <v>50</v>
      </c>
      <c r="B456" t="s">
        <v>21</v>
      </c>
      <c r="C456" t="s">
        <v>39</v>
      </c>
      <c r="D456" s="1">
        <v>44586</v>
      </c>
      <c r="E456" s="1" t="str">
        <f>TEXT(Sales[[#This Row],[Date]],"mmm")</f>
        <v>Jan</v>
      </c>
      <c r="F456" s="1" t="str">
        <f t="shared" si="14"/>
        <v>2022</v>
      </c>
      <c r="G456" s="1" t="str">
        <f t="shared" si="15"/>
        <v>Tue</v>
      </c>
      <c r="H456" s="7">
        <v>11564</v>
      </c>
      <c r="I456" s="6">
        <v>24</v>
      </c>
    </row>
    <row r="457" spans="1:9" x14ac:dyDescent="0.25">
      <c r="A457" t="s">
        <v>12</v>
      </c>
      <c r="B457" t="s">
        <v>7</v>
      </c>
      <c r="C457" t="s">
        <v>37</v>
      </c>
      <c r="D457" s="1">
        <v>44698</v>
      </c>
      <c r="E457" s="1" t="str">
        <f>TEXT(Sales[[#This Row],[Date]],"mmm")</f>
        <v>May</v>
      </c>
      <c r="F457" s="1" t="str">
        <f t="shared" si="14"/>
        <v>2022</v>
      </c>
      <c r="G457" s="1" t="str">
        <f t="shared" si="15"/>
        <v>Tue</v>
      </c>
      <c r="H457" s="7">
        <v>1365</v>
      </c>
      <c r="I457" s="6">
        <v>232</v>
      </c>
    </row>
    <row r="458" spans="1:9" x14ac:dyDescent="0.25">
      <c r="A458" t="s">
        <v>48</v>
      </c>
      <c r="B458" t="s">
        <v>15</v>
      </c>
      <c r="C458" t="s">
        <v>11</v>
      </c>
      <c r="D458" s="1">
        <v>44796</v>
      </c>
      <c r="E458" s="1" t="str">
        <f>TEXT(Sales[[#This Row],[Date]],"mmm")</f>
        <v>Aug</v>
      </c>
      <c r="F458" s="1" t="str">
        <f t="shared" si="14"/>
        <v>2022</v>
      </c>
      <c r="G458" s="1" t="str">
        <f t="shared" si="15"/>
        <v>Tue</v>
      </c>
      <c r="H458" s="7">
        <v>4186</v>
      </c>
      <c r="I458" s="6">
        <v>233</v>
      </c>
    </row>
    <row r="459" spans="1:9" x14ac:dyDescent="0.25">
      <c r="A459" t="s">
        <v>50</v>
      </c>
      <c r="B459" t="s">
        <v>15</v>
      </c>
      <c r="C459" t="s">
        <v>16</v>
      </c>
      <c r="D459" s="1">
        <v>44623</v>
      </c>
      <c r="E459" s="1" t="str">
        <f>TEXT(Sales[[#This Row],[Date]],"mmm")</f>
        <v>Mar</v>
      </c>
      <c r="F459" s="1" t="str">
        <f t="shared" si="14"/>
        <v>2022</v>
      </c>
      <c r="G459" s="1" t="str">
        <f t="shared" si="15"/>
        <v>Thu</v>
      </c>
      <c r="H459" s="7">
        <v>7406</v>
      </c>
      <c r="I459" s="6">
        <v>118</v>
      </c>
    </row>
    <row r="460" spans="1:9" x14ac:dyDescent="0.25">
      <c r="A460" t="s">
        <v>36</v>
      </c>
      <c r="B460" t="s">
        <v>10</v>
      </c>
      <c r="C460" t="s">
        <v>57</v>
      </c>
      <c r="D460" s="1">
        <v>44711</v>
      </c>
      <c r="E460" s="1" t="str">
        <f>TEXT(Sales[[#This Row],[Date]],"mmm")</f>
        <v>May</v>
      </c>
      <c r="F460" s="1" t="str">
        <f t="shared" si="14"/>
        <v>2022</v>
      </c>
      <c r="G460" s="1" t="str">
        <f t="shared" si="15"/>
        <v>Mon</v>
      </c>
      <c r="H460" s="7">
        <v>8911</v>
      </c>
      <c r="I460" s="6">
        <v>543</v>
      </c>
    </row>
    <row r="461" spans="1:9" x14ac:dyDescent="0.25">
      <c r="A461" t="s">
        <v>31</v>
      </c>
      <c r="B461" t="s">
        <v>26</v>
      </c>
      <c r="C461" t="s">
        <v>32</v>
      </c>
      <c r="D461" s="1">
        <v>44741</v>
      </c>
      <c r="E461" s="1" t="str">
        <f>TEXT(Sales[[#This Row],[Date]],"mmm")</f>
        <v>Jun</v>
      </c>
      <c r="F461" s="1" t="str">
        <f t="shared" si="14"/>
        <v>2022</v>
      </c>
      <c r="G461" s="1" t="str">
        <f t="shared" si="15"/>
        <v>Wed</v>
      </c>
      <c r="H461" s="7">
        <v>112</v>
      </c>
      <c r="I461" s="6">
        <v>223</v>
      </c>
    </row>
    <row r="462" spans="1:9" x14ac:dyDescent="0.25">
      <c r="A462" t="s">
        <v>48</v>
      </c>
      <c r="B462" t="s">
        <v>29</v>
      </c>
      <c r="C462" t="s">
        <v>35</v>
      </c>
      <c r="D462" s="1">
        <v>44565</v>
      </c>
      <c r="E462" s="1" t="str">
        <f>TEXT(Sales[[#This Row],[Date]],"mmm")</f>
        <v>Jan</v>
      </c>
      <c r="F462" s="1" t="str">
        <f t="shared" si="14"/>
        <v>2022</v>
      </c>
      <c r="G462" s="1" t="str">
        <f t="shared" si="15"/>
        <v>Tue</v>
      </c>
      <c r="H462" s="7">
        <v>8204</v>
      </c>
      <c r="I462" s="6">
        <v>204</v>
      </c>
    </row>
    <row r="463" spans="1:9" x14ac:dyDescent="0.25">
      <c r="A463" t="s">
        <v>6</v>
      </c>
      <c r="B463" t="s">
        <v>15</v>
      </c>
      <c r="C463" t="s">
        <v>32</v>
      </c>
      <c r="D463" s="1">
        <v>44575</v>
      </c>
      <c r="E463" s="1" t="str">
        <f>TEXT(Sales[[#This Row],[Date]],"mmm")</f>
        <v>Jan</v>
      </c>
      <c r="F463" s="1" t="str">
        <f t="shared" si="14"/>
        <v>2022</v>
      </c>
      <c r="G463" s="1" t="str">
        <f t="shared" si="15"/>
        <v>Fri</v>
      </c>
      <c r="H463" s="7">
        <v>2611</v>
      </c>
      <c r="I463" s="6">
        <v>65</v>
      </c>
    </row>
    <row r="464" spans="1:9" x14ac:dyDescent="0.25">
      <c r="A464" t="s">
        <v>31</v>
      </c>
      <c r="B464" t="s">
        <v>26</v>
      </c>
      <c r="C464" t="s">
        <v>8</v>
      </c>
      <c r="D464" s="1">
        <v>44607</v>
      </c>
      <c r="E464" s="1" t="str">
        <f>TEXT(Sales[[#This Row],[Date]],"mmm")</f>
        <v>Feb</v>
      </c>
      <c r="F464" s="1" t="str">
        <f t="shared" si="14"/>
        <v>2022</v>
      </c>
      <c r="G464" s="1" t="str">
        <f t="shared" si="15"/>
        <v>Tue</v>
      </c>
      <c r="H464" s="7">
        <v>15652</v>
      </c>
      <c r="I464" s="6">
        <v>53</v>
      </c>
    </row>
    <row r="465" spans="1:9" x14ac:dyDescent="0.25">
      <c r="A465" t="s">
        <v>38</v>
      </c>
      <c r="B465" t="s">
        <v>21</v>
      </c>
      <c r="C465" t="s">
        <v>39</v>
      </c>
      <c r="D465" s="1">
        <v>44571</v>
      </c>
      <c r="E465" s="1" t="str">
        <f>TEXT(Sales[[#This Row],[Date]],"mmm")</f>
        <v>Jan</v>
      </c>
      <c r="F465" s="1" t="str">
        <f t="shared" si="14"/>
        <v>2022</v>
      </c>
      <c r="G465" s="1" t="str">
        <f t="shared" si="15"/>
        <v>Mon</v>
      </c>
      <c r="H465" s="7">
        <v>4074</v>
      </c>
      <c r="I465" s="6">
        <v>469</v>
      </c>
    </row>
    <row r="466" spans="1:9" x14ac:dyDescent="0.25">
      <c r="A466" t="s">
        <v>53</v>
      </c>
      <c r="B466" t="s">
        <v>26</v>
      </c>
      <c r="C466" t="s">
        <v>44</v>
      </c>
      <c r="D466" s="1">
        <v>44685</v>
      </c>
      <c r="E466" s="1" t="str">
        <f>TEXT(Sales[[#This Row],[Date]],"mmm")</f>
        <v>May</v>
      </c>
      <c r="F466" s="1" t="str">
        <f t="shared" si="14"/>
        <v>2022</v>
      </c>
      <c r="G466" s="1" t="str">
        <f t="shared" si="15"/>
        <v>Wed</v>
      </c>
      <c r="H466" s="7">
        <v>12250</v>
      </c>
      <c r="I466" s="6">
        <v>213</v>
      </c>
    </row>
    <row r="467" spans="1:9" x14ac:dyDescent="0.25">
      <c r="A467" t="s">
        <v>48</v>
      </c>
      <c r="B467" t="s">
        <v>26</v>
      </c>
      <c r="C467" t="s">
        <v>39</v>
      </c>
      <c r="D467" s="1">
        <v>44704</v>
      </c>
      <c r="E467" s="1" t="str">
        <f>TEXT(Sales[[#This Row],[Date]],"mmm")</f>
        <v>May</v>
      </c>
      <c r="F467" s="1" t="str">
        <f t="shared" si="14"/>
        <v>2022</v>
      </c>
      <c r="G467" s="1" t="str">
        <f t="shared" si="15"/>
        <v>Mon</v>
      </c>
      <c r="H467" s="7">
        <v>2366</v>
      </c>
      <c r="I467" s="6">
        <v>5</v>
      </c>
    </row>
    <row r="468" spans="1:9" x14ac:dyDescent="0.25">
      <c r="A468" t="s">
        <v>25</v>
      </c>
      <c r="B468" t="s">
        <v>21</v>
      </c>
      <c r="C468" t="s">
        <v>42</v>
      </c>
      <c r="D468" s="1">
        <v>44677</v>
      </c>
      <c r="E468" s="1" t="str">
        <f>TEXT(Sales[[#This Row],[Date]],"mmm")</f>
        <v>Apr</v>
      </c>
      <c r="F468" s="1" t="str">
        <f t="shared" si="14"/>
        <v>2022</v>
      </c>
      <c r="G468" s="1" t="str">
        <f t="shared" si="15"/>
        <v>Tue</v>
      </c>
      <c r="H468" s="7">
        <v>1687</v>
      </c>
      <c r="I468" s="6">
        <v>147</v>
      </c>
    </row>
    <row r="469" spans="1:9" x14ac:dyDescent="0.25">
      <c r="A469" t="s">
        <v>17</v>
      </c>
      <c r="B469" t="s">
        <v>29</v>
      </c>
      <c r="C469" t="s">
        <v>35</v>
      </c>
      <c r="D469" s="1">
        <v>44747</v>
      </c>
      <c r="E469" s="1" t="str">
        <f>TEXT(Sales[[#This Row],[Date]],"mmm")</f>
        <v>Jul</v>
      </c>
      <c r="F469" s="1" t="str">
        <f t="shared" si="14"/>
        <v>2022</v>
      </c>
      <c r="G469" s="1" t="str">
        <f t="shared" si="15"/>
        <v>Tue</v>
      </c>
      <c r="H469" s="7">
        <v>1232</v>
      </c>
      <c r="I469" s="6">
        <v>74</v>
      </c>
    </row>
    <row r="470" spans="1:9" x14ac:dyDescent="0.25">
      <c r="A470" t="s">
        <v>53</v>
      </c>
      <c r="B470" t="s">
        <v>7</v>
      </c>
      <c r="C470" t="s">
        <v>35</v>
      </c>
      <c r="D470" s="1">
        <v>44763</v>
      </c>
      <c r="E470" s="1" t="str">
        <f>TEXT(Sales[[#This Row],[Date]],"mmm")</f>
        <v>Jul</v>
      </c>
      <c r="F470" s="1" t="str">
        <f t="shared" si="14"/>
        <v>2022</v>
      </c>
      <c r="G470" s="1" t="str">
        <f t="shared" si="15"/>
        <v>Thu</v>
      </c>
      <c r="H470" s="7">
        <v>6965</v>
      </c>
      <c r="I470" s="6">
        <v>163</v>
      </c>
    </row>
    <row r="471" spans="1:9" x14ac:dyDescent="0.25">
      <c r="A471" t="s">
        <v>54</v>
      </c>
      <c r="B471" t="s">
        <v>26</v>
      </c>
      <c r="C471" t="s">
        <v>8</v>
      </c>
      <c r="D471" s="1">
        <v>44613</v>
      </c>
      <c r="E471" s="1" t="str">
        <f>TEXT(Sales[[#This Row],[Date]],"mmm")</f>
        <v>Feb</v>
      </c>
      <c r="F471" s="1" t="str">
        <f t="shared" si="14"/>
        <v>2022</v>
      </c>
      <c r="G471" s="1" t="str">
        <f t="shared" si="15"/>
        <v>Mon</v>
      </c>
      <c r="H471" s="7">
        <v>5292</v>
      </c>
      <c r="I471" s="6">
        <v>248</v>
      </c>
    </row>
    <row r="472" spans="1:9" x14ac:dyDescent="0.25">
      <c r="A472" t="s">
        <v>49</v>
      </c>
      <c r="B472" t="s">
        <v>26</v>
      </c>
      <c r="C472" t="s">
        <v>27</v>
      </c>
      <c r="D472" s="1">
        <v>44595</v>
      </c>
      <c r="E472" s="1" t="str">
        <f>TEXT(Sales[[#This Row],[Date]],"mmm")</f>
        <v>Feb</v>
      </c>
      <c r="F472" s="1" t="str">
        <f t="shared" si="14"/>
        <v>2022</v>
      </c>
      <c r="G472" s="1" t="str">
        <f t="shared" si="15"/>
        <v>Thu</v>
      </c>
      <c r="H472" s="7">
        <v>1379</v>
      </c>
      <c r="I472" s="6">
        <v>138</v>
      </c>
    </row>
    <row r="473" spans="1:9" x14ac:dyDescent="0.25">
      <c r="A473" t="s">
        <v>12</v>
      </c>
      <c r="B473" t="s">
        <v>15</v>
      </c>
      <c r="C473" t="s">
        <v>57</v>
      </c>
      <c r="D473" s="1">
        <v>44750</v>
      </c>
      <c r="E473" s="1" t="str">
        <f>TEXT(Sales[[#This Row],[Date]],"mmm")</f>
        <v>Jul</v>
      </c>
      <c r="F473" s="1" t="str">
        <f t="shared" si="14"/>
        <v>2022</v>
      </c>
      <c r="G473" s="1" t="str">
        <f t="shared" si="15"/>
        <v>Fri</v>
      </c>
      <c r="H473" s="7">
        <v>8001</v>
      </c>
      <c r="I473" s="6">
        <v>151</v>
      </c>
    </row>
    <row r="474" spans="1:9" x14ac:dyDescent="0.25">
      <c r="A474" t="s">
        <v>28</v>
      </c>
      <c r="B474" t="s">
        <v>10</v>
      </c>
      <c r="C474" t="s">
        <v>22</v>
      </c>
      <c r="D474" s="1">
        <v>44712</v>
      </c>
      <c r="E474" s="1" t="str">
        <f>TEXT(Sales[[#This Row],[Date]],"mmm")</f>
        <v>May</v>
      </c>
      <c r="F474" s="1" t="str">
        <f t="shared" si="14"/>
        <v>2022</v>
      </c>
      <c r="G474" s="1" t="str">
        <f t="shared" si="15"/>
        <v>Tue</v>
      </c>
      <c r="H474" s="7">
        <v>588</v>
      </c>
      <c r="I474" s="6">
        <v>139</v>
      </c>
    </row>
    <row r="475" spans="1:9" x14ac:dyDescent="0.25">
      <c r="A475" t="s">
        <v>9</v>
      </c>
      <c r="B475" t="s">
        <v>21</v>
      </c>
      <c r="C475" t="s">
        <v>8</v>
      </c>
      <c r="D475" s="1">
        <v>44739</v>
      </c>
      <c r="E475" s="1" t="str">
        <f>TEXT(Sales[[#This Row],[Date]],"mmm")</f>
        <v>Jun</v>
      </c>
      <c r="F475" s="1" t="str">
        <f t="shared" si="14"/>
        <v>2022</v>
      </c>
      <c r="G475" s="1" t="str">
        <f t="shared" si="15"/>
        <v>Mon</v>
      </c>
      <c r="H475" s="7">
        <v>4046</v>
      </c>
      <c r="I475" s="6">
        <v>103</v>
      </c>
    </row>
    <row r="476" spans="1:9" x14ac:dyDescent="0.25">
      <c r="A476" t="s">
        <v>9</v>
      </c>
      <c r="B476" t="s">
        <v>10</v>
      </c>
      <c r="C476" t="s">
        <v>22</v>
      </c>
      <c r="D476" s="1">
        <v>44694</v>
      </c>
      <c r="E476" s="1" t="str">
        <f>TEXT(Sales[[#This Row],[Date]],"mmm")</f>
        <v>May</v>
      </c>
      <c r="F476" s="1" t="str">
        <f t="shared" si="14"/>
        <v>2022</v>
      </c>
      <c r="G476" s="1" t="str">
        <f t="shared" si="15"/>
        <v>Fri</v>
      </c>
      <c r="H476" s="7">
        <v>5103</v>
      </c>
      <c r="I476" s="6">
        <v>129</v>
      </c>
    </row>
    <row r="477" spans="1:9" x14ac:dyDescent="0.25">
      <c r="A477" t="s">
        <v>9</v>
      </c>
      <c r="B477" t="s">
        <v>26</v>
      </c>
      <c r="C477" t="s">
        <v>45</v>
      </c>
      <c r="D477" s="1">
        <v>44712</v>
      </c>
      <c r="E477" s="1" t="str">
        <f>TEXT(Sales[[#This Row],[Date]],"mmm")</f>
        <v>May</v>
      </c>
      <c r="F477" s="1" t="str">
        <f t="shared" si="14"/>
        <v>2022</v>
      </c>
      <c r="G477" s="1" t="str">
        <f t="shared" si="15"/>
        <v>Tue</v>
      </c>
      <c r="H477" s="7">
        <v>2317</v>
      </c>
      <c r="I477" s="6">
        <v>102</v>
      </c>
    </row>
    <row r="478" spans="1:9" x14ac:dyDescent="0.25">
      <c r="A478" t="s">
        <v>46</v>
      </c>
      <c r="B478" t="s">
        <v>26</v>
      </c>
      <c r="C478" t="s">
        <v>27</v>
      </c>
      <c r="D478" s="1">
        <v>44620</v>
      </c>
      <c r="E478" s="1" t="str">
        <f>TEXT(Sales[[#This Row],[Date]],"mmm")</f>
        <v>Feb</v>
      </c>
      <c r="F478" s="1" t="str">
        <f t="shared" si="14"/>
        <v>2022</v>
      </c>
      <c r="G478" s="1" t="str">
        <f t="shared" si="15"/>
        <v>Mon</v>
      </c>
      <c r="H478" s="7">
        <v>7042</v>
      </c>
      <c r="I478" s="6">
        <v>37</v>
      </c>
    </row>
    <row r="479" spans="1:9" x14ac:dyDescent="0.25">
      <c r="A479" t="s">
        <v>25</v>
      </c>
      <c r="B479" t="s">
        <v>21</v>
      </c>
      <c r="C479" t="s">
        <v>30</v>
      </c>
      <c r="D479" s="1">
        <v>44648</v>
      </c>
      <c r="E479" s="1" t="str">
        <f>TEXT(Sales[[#This Row],[Date]],"mmm")</f>
        <v>Mar</v>
      </c>
      <c r="F479" s="1" t="str">
        <f t="shared" si="14"/>
        <v>2022</v>
      </c>
      <c r="G479" s="1" t="str">
        <f t="shared" si="15"/>
        <v>Mon</v>
      </c>
      <c r="H479" s="7">
        <v>6713</v>
      </c>
      <c r="I479" s="6">
        <v>31</v>
      </c>
    </row>
    <row r="480" spans="1:9" x14ac:dyDescent="0.25">
      <c r="A480" t="s">
        <v>12</v>
      </c>
      <c r="B480" t="s">
        <v>26</v>
      </c>
      <c r="C480" t="s">
        <v>20</v>
      </c>
      <c r="D480" s="1">
        <v>44575</v>
      </c>
      <c r="E480" s="1" t="str">
        <f>TEXT(Sales[[#This Row],[Date]],"mmm")</f>
        <v>Jan</v>
      </c>
      <c r="F480" s="1" t="str">
        <f t="shared" si="14"/>
        <v>2022</v>
      </c>
      <c r="G480" s="1" t="str">
        <f t="shared" si="15"/>
        <v>Fri</v>
      </c>
      <c r="H480" s="7">
        <v>1848</v>
      </c>
      <c r="I480" s="6">
        <v>227</v>
      </c>
    </row>
    <row r="481" spans="1:9" x14ac:dyDescent="0.25">
      <c r="A481" t="s">
        <v>25</v>
      </c>
      <c r="B481" t="s">
        <v>21</v>
      </c>
      <c r="C481" t="s">
        <v>8</v>
      </c>
      <c r="D481" s="1">
        <v>44613</v>
      </c>
      <c r="E481" s="1" t="str">
        <f>TEXT(Sales[[#This Row],[Date]],"mmm")</f>
        <v>Feb</v>
      </c>
      <c r="F481" s="1" t="str">
        <f t="shared" si="14"/>
        <v>2022</v>
      </c>
      <c r="G481" s="1" t="str">
        <f t="shared" si="15"/>
        <v>Mon</v>
      </c>
      <c r="H481" s="7">
        <v>6440</v>
      </c>
      <c r="I481" s="6">
        <v>145</v>
      </c>
    </row>
    <row r="482" spans="1:9" x14ac:dyDescent="0.25">
      <c r="A482" t="s">
        <v>43</v>
      </c>
      <c r="B482" t="s">
        <v>29</v>
      </c>
      <c r="C482" t="s">
        <v>11</v>
      </c>
      <c r="D482" s="1">
        <v>44774</v>
      </c>
      <c r="E482" s="1" t="str">
        <f>TEXT(Sales[[#This Row],[Date]],"mmm")</f>
        <v>Aug</v>
      </c>
      <c r="F482" s="1" t="str">
        <f t="shared" si="14"/>
        <v>2022</v>
      </c>
      <c r="G482" s="1" t="str">
        <f t="shared" si="15"/>
        <v>Mon</v>
      </c>
      <c r="H482" s="7">
        <v>10885</v>
      </c>
      <c r="I482" s="6">
        <v>90</v>
      </c>
    </row>
    <row r="483" spans="1:9" x14ac:dyDescent="0.25">
      <c r="A483" t="s">
        <v>34</v>
      </c>
      <c r="B483" t="s">
        <v>21</v>
      </c>
      <c r="C483" t="s">
        <v>16</v>
      </c>
      <c r="D483" s="1">
        <v>44700</v>
      </c>
      <c r="E483" s="1" t="str">
        <f>TEXT(Sales[[#This Row],[Date]],"mmm")</f>
        <v>May</v>
      </c>
      <c r="F483" s="1" t="str">
        <f t="shared" si="14"/>
        <v>2022</v>
      </c>
      <c r="G483" s="1" t="str">
        <f t="shared" si="15"/>
        <v>Thu</v>
      </c>
      <c r="H483" s="7">
        <v>2387</v>
      </c>
      <c r="I483" s="6">
        <v>59</v>
      </c>
    </row>
    <row r="484" spans="1:9" x14ac:dyDescent="0.25">
      <c r="A484" t="s">
        <v>40</v>
      </c>
      <c r="B484" t="s">
        <v>26</v>
      </c>
      <c r="C484" t="s">
        <v>44</v>
      </c>
      <c r="D484" s="1">
        <v>44755</v>
      </c>
      <c r="E484" s="1" t="str">
        <f>TEXT(Sales[[#This Row],[Date]],"mmm")</f>
        <v>Jul</v>
      </c>
      <c r="F484" s="1" t="str">
        <f t="shared" si="14"/>
        <v>2022</v>
      </c>
      <c r="G484" s="1" t="str">
        <f t="shared" si="15"/>
        <v>Wed</v>
      </c>
      <c r="H484" s="7">
        <v>2030</v>
      </c>
      <c r="I484" s="6">
        <v>60</v>
      </c>
    </row>
    <row r="485" spans="1:9" x14ac:dyDescent="0.25">
      <c r="A485" t="s">
        <v>48</v>
      </c>
      <c r="B485" t="s">
        <v>15</v>
      </c>
      <c r="C485" t="s">
        <v>13</v>
      </c>
      <c r="D485" s="1">
        <v>44671</v>
      </c>
      <c r="E485" s="1" t="str">
        <f>TEXT(Sales[[#This Row],[Date]],"mmm")</f>
        <v>Apr</v>
      </c>
      <c r="F485" s="1" t="str">
        <f t="shared" si="14"/>
        <v>2022</v>
      </c>
      <c r="G485" s="1" t="str">
        <f t="shared" si="15"/>
        <v>Wed</v>
      </c>
      <c r="H485" s="7">
        <v>6678</v>
      </c>
      <c r="I485" s="6">
        <v>148</v>
      </c>
    </row>
    <row r="486" spans="1:9" x14ac:dyDescent="0.25">
      <c r="A486" t="s">
        <v>43</v>
      </c>
      <c r="B486" t="s">
        <v>10</v>
      </c>
      <c r="C486" t="s">
        <v>11</v>
      </c>
      <c r="D486" s="1">
        <v>44742</v>
      </c>
      <c r="E486" s="1" t="str">
        <f>TEXT(Sales[[#This Row],[Date]],"mmm")</f>
        <v>Jun</v>
      </c>
      <c r="F486" s="1" t="str">
        <f t="shared" si="14"/>
        <v>2022</v>
      </c>
      <c r="G486" s="1" t="str">
        <f t="shared" si="15"/>
        <v>Thu</v>
      </c>
      <c r="H486" s="7">
        <v>4515</v>
      </c>
      <c r="I486" s="6">
        <v>22</v>
      </c>
    </row>
    <row r="487" spans="1:9" x14ac:dyDescent="0.25">
      <c r="A487" t="s">
        <v>38</v>
      </c>
      <c r="B487" t="s">
        <v>7</v>
      </c>
      <c r="C487" t="s">
        <v>22</v>
      </c>
      <c r="D487" s="1">
        <v>44628</v>
      </c>
      <c r="E487" s="1" t="str">
        <f>TEXT(Sales[[#This Row],[Date]],"mmm")</f>
        <v>Mar</v>
      </c>
      <c r="F487" s="1" t="str">
        <f t="shared" si="14"/>
        <v>2022</v>
      </c>
      <c r="G487" s="1" t="str">
        <f t="shared" si="15"/>
        <v>Tue</v>
      </c>
      <c r="H487" s="7">
        <v>3374</v>
      </c>
      <c r="I487" s="6">
        <v>142</v>
      </c>
    </row>
    <row r="488" spans="1:9" x14ac:dyDescent="0.25">
      <c r="A488" t="s">
        <v>19</v>
      </c>
      <c r="B488" t="s">
        <v>26</v>
      </c>
      <c r="C488" t="s">
        <v>42</v>
      </c>
      <c r="D488" s="1">
        <v>44629</v>
      </c>
      <c r="E488" s="1" t="str">
        <f>TEXT(Sales[[#This Row],[Date]],"mmm")</f>
        <v>Mar</v>
      </c>
      <c r="F488" s="1" t="str">
        <f t="shared" si="14"/>
        <v>2022</v>
      </c>
      <c r="G488" s="1" t="str">
        <f t="shared" si="15"/>
        <v>Wed</v>
      </c>
      <c r="H488" s="7">
        <v>5852</v>
      </c>
      <c r="I488" s="6">
        <v>93</v>
      </c>
    </row>
    <row r="489" spans="1:9" x14ac:dyDescent="0.25">
      <c r="A489" t="s">
        <v>17</v>
      </c>
      <c r="B489" t="s">
        <v>29</v>
      </c>
      <c r="C489" t="s">
        <v>51</v>
      </c>
      <c r="D489" s="1">
        <v>44728</v>
      </c>
      <c r="E489" s="1" t="str">
        <f>TEXT(Sales[[#This Row],[Date]],"mmm")</f>
        <v>Jun</v>
      </c>
      <c r="F489" s="1" t="str">
        <f t="shared" si="14"/>
        <v>2022</v>
      </c>
      <c r="G489" s="1" t="str">
        <f t="shared" si="15"/>
        <v>Thu</v>
      </c>
      <c r="H489" s="7">
        <v>1750</v>
      </c>
      <c r="I489" s="6">
        <v>208</v>
      </c>
    </row>
    <row r="490" spans="1:9" x14ac:dyDescent="0.25">
      <c r="A490" t="s">
        <v>12</v>
      </c>
      <c r="B490" t="s">
        <v>7</v>
      </c>
      <c r="C490" t="s">
        <v>32</v>
      </c>
      <c r="D490" s="1">
        <v>44742</v>
      </c>
      <c r="E490" s="1" t="str">
        <f>TEXT(Sales[[#This Row],[Date]],"mmm")</f>
        <v>Jun</v>
      </c>
      <c r="F490" s="1" t="str">
        <f t="shared" si="14"/>
        <v>2022</v>
      </c>
      <c r="G490" s="1" t="str">
        <f t="shared" si="15"/>
        <v>Thu</v>
      </c>
      <c r="H490" s="7">
        <v>5782</v>
      </c>
      <c r="I490" s="6">
        <v>42</v>
      </c>
    </row>
    <row r="491" spans="1:9" x14ac:dyDescent="0.25">
      <c r="A491" t="s">
        <v>49</v>
      </c>
      <c r="B491" t="s">
        <v>10</v>
      </c>
      <c r="C491" t="s">
        <v>8</v>
      </c>
      <c r="D491" s="1">
        <v>44770</v>
      </c>
      <c r="E491" s="1" t="str">
        <f>TEXT(Sales[[#This Row],[Date]],"mmm")</f>
        <v>Jul</v>
      </c>
      <c r="F491" s="1" t="str">
        <f t="shared" si="14"/>
        <v>2022</v>
      </c>
      <c r="G491" s="1" t="str">
        <f t="shared" si="15"/>
        <v>Thu</v>
      </c>
      <c r="H491" s="7">
        <v>2870</v>
      </c>
      <c r="I491" s="6">
        <v>120</v>
      </c>
    </row>
    <row r="492" spans="1:9" x14ac:dyDescent="0.25">
      <c r="A492" t="s">
        <v>31</v>
      </c>
      <c r="B492" t="s">
        <v>29</v>
      </c>
      <c r="C492" t="s">
        <v>13</v>
      </c>
      <c r="D492" s="1">
        <v>44785</v>
      </c>
      <c r="E492" s="1" t="str">
        <f>TEXT(Sales[[#This Row],[Date]],"mmm")</f>
        <v>Aug</v>
      </c>
      <c r="F492" s="1" t="str">
        <f t="shared" si="14"/>
        <v>2022</v>
      </c>
      <c r="G492" s="1" t="str">
        <f t="shared" si="15"/>
        <v>Fri</v>
      </c>
      <c r="H492" s="7">
        <v>3094</v>
      </c>
      <c r="I492" s="6">
        <v>159</v>
      </c>
    </row>
    <row r="493" spans="1:9" x14ac:dyDescent="0.25">
      <c r="A493" t="s">
        <v>25</v>
      </c>
      <c r="B493" t="s">
        <v>7</v>
      </c>
      <c r="C493" t="s">
        <v>8</v>
      </c>
      <c r="D493" s="1">
        <v>44749</v>
      </c>
      <c r="E493" s="1" t="str">
        <f>TEXT(Sales[[#This Row],[Date]],"mmm")</f>
        <v>Jul</v>
      </c>
      <c r="F493" s="1" t="str">
        <f t="shared" si="14"/>
        <v>2022</v>
      </c>
      <c r="G493" s="1" t="str">
        <f t="shared" si="15"/>
        <v>Thu</v>
      </c>
      <c r="H493" s="7">
        <v>3724</v>
      </c>
      <c r="I493" s="6">
        <v>316</v>
      </c>
    </row>
    <row r="494" spans="1:9" x14ac:dyDescent="0.25">
      <c r="A494" t="s">
        <v>25</v>
      </c>
      <c r="B494" t="s">
        <v>26</v>
      </c>
      <c r="C494" t="s">
        <v>11</v>
      </c>
      <c r="D494" s="1">
        <v>44798</v>
      </c>
      <c r="E494" s="1" t="str">
        <f>TEXT(Sales[[#This Row],[Date]],"mmm")</f>
        <v>Aug</v>
      </c>
      <c r="F494" s="1" t="str">
        <f t="shared" si="14"/>
        <v>2022</v>
      </c>
      <c r="G494" s="1" t="str">
        <f t="shared" si="15"/>
        <v>Thu</v>
      </c>
      <c r="H494" s="7">
        <v>12761</v>
      </c>
      <c r="I494" s="6">
        <v>47</v>
      </c>
    </row>
    <row r="495" spans="1:9" x14ac:dyDescent="0.25">
      <c r="A495" t="s">
        <v>40</v>
      </c>
      <c r="B495" t="s">
        <v>29</v>
      </c>
      <c r="C495" t="s">
        <v>30</v>
      </c>
      <c r="D495" s="1">
        <v>44578</v>
      </c>
      <c r="E495" s="1" t="str">
        <f>TEXT(Sales[[#This Row],[Date]],"mmm")</f>
        <v>Jan</v>
      </c>
      <c r="F495" s="1" t="str">
        <f t="shared" si="14"/>
        <v>2022</v>
      </c>
      <c r="G495" s="1" t="str">
        <f t="shared" si="15"/>
        <v>Mon</v>
      </c>
      <c r="H495" s="7">
        <v>3696</v>
      </c>
      <c r="I495" s="6">
        <v>233</v>
      </c>
    </row>
    <row r="496" spans="1:9" x14ac:dyDescent="0.25">
      <c r="A496" t="s">
        <v>14</v>
      </c>
      <c r="B496" t="s">
        <v>15</v>
      </c>
      <c r="C496" t="s">
        <v>58</v>
      </c>
      <c r="D496" s="1">
        <v>44624</v>
      </c>
      <c r="E496" s="1" t="str">
        <f>TEXT(Sales[[#This Row],[Date]],"mmm")</f>
        <v>Mar</v>
      </c>
      <c r="F496" s="1" t="str">
        <f t="shared" si="14"/>
        <v>2022</v>
      </c>
      <c r="G496" s="1" t="str">
        <f t="shared" si="15"/>
        <v>Fri</v>
      </c>
      <c r="H496" s="7">
        <v>5222</v>
      </c>
      <c r="I496" s="6">
        <v>384</v>
      </c>
    </row>
    <row r="497" spans="1:9" x14ac:dyDescent="0.25">
      <c r="A497" t="s">
        <v>33</v>
      </c>
      <c r="B497" t="s">
        <v>21</v>
      </c>
      <c r="C497" t="s">
        <v>42</v>
      </c>
      <c r="D497" s="1">
        <v>44798</v>
      </c>
      <c r="E497" s="1" t="str">
        <f>TEXT(Sales[[#This Row],[Date]],"mmm")</f>
        <v>Aug</v>
      </c>
      <c r="F497" s="1" t="str">
        <f t="shared" si="14"/>
        <v>2022</v>
      </c>
      <c r="G497" s="1" t="str">
        <f t="shared" si="15"/>
        <v>Thu</v>
      </c>
      <c r="H497" s="7">
        <v>8939</v>
      </c>
      <c r="I497" s="6">
        <v>4</v>
      </c>
    </row>
    <row r="498" spans="1:9" x14ac:dyDescent="0.25">
      <c r="A498" t="s">
        <v>55</v>
      </c>
      <c r="B498" t="s">
        <v>7</v>
      </c>
      <c r="C498" t="s">
        <v>13</v>
      </c>
      <c r="D498" s="1">
        <v>44666</v>
      </c>
      <c r="E498" s="1" t="str">
        <f>TEXT(Sales[[#This Row],[Date]],"mmm")</f>
        <v>Apr</v>
      </c>
      <c r="F498" s="1" t="str">
        <f t="shared" si="14"/>
        <v>2022</v>
      </c>
      <c r="G498" s="1" t="str">
        <f t="shared" si="15"/>
        <v>Fri</v>
      </c>
      <c r="H498" s="7">
        <v>2156</v>
      </c>
      <c r="I498" s="6">
        <v>260</v>
      </c>
    </row>
    <row r="499" spans="1:9" x14ac:dyDescent="0.25">
      <c r="A499" t="s">
        <v>41</v>
      </c>
      <c r="B499" t="s">
        <v>26</v>
      </c>
      <c r="C499" t="s">
        <v>35</v>
      </c>
      <c r="D499" s="1">
        <v>44631</v>
      </c>
      <c r="E499" s="1" t="str">
        <f>TEXT(Sales[[#This Row],[Date]],"mmm")</f>
        <v>Mar</v>
      </c>
      <c r="F499" s="1" t="str">
        <f t="shared" si="14"/>
        <v>2022</v>
      </c>
      <c r="G499" s="1" t="str">
        <f t="shared" si="15"/>
        <v>Fri</v>
      </c>
      <c r="H499" s="7">
        <v>2380</v>
      </c>
      <c r="I499" s="6">
        <v>22</v>
      </c>
    </row>
    <row r="500" spans="1:9" x14ac:dyDescent="0.25">
      <c r="A500" t="s">
        <v>50</v>
      </c>
      <c r="B500" t="s">
        <v>26</v>
      </c>
      <c r="C500" t="s">
        <v>51</v>
      </c>
      <c r="D500" s="1">
        <v>44701</v>
      </c>
      <c r="E500" s="1" t="str">
        <f>TEXT(Sales[[#This Row],[Date]],"mmm")</f>
        <v>May</v>
      </c>
      <c r="F500" s="1" t="str">
        <f t="shared" si="14"/>
        <v>2022</v>
      </c>
      <c r="G500" s="1" t="str">
        <f t="shared" si="15"/>
        <v>Fri</v>
      </c>
      <c r="H500" s="7">
        <v>3339</v>
      </c>
      <c r="I500" s="6">
        <v>18</v>
      </c>
    </row>
    <row r="501" spans="1:9" x14ac:dyDescent="0.25">
      <c r="A501" t="s">
        <v>23</v>
      </c>
      <c r="B501" t="s">
        <v>21</v>
      </c>
      <c r="C501" t="s">
        <v>45</v>
      </c>
      <c r="D501" s="1">
        <v>44726</v>
      </c>
      <c r="E501" s="1" t="str">
        <f>TEXT(Sales[[#This Row],[Date]],"mmm")</f>
        <v>Jun</v>
      </c>
      <c r="F501" s="1" t="str">
        <f t="shared" si="14"/>
        <v>2022</v>
      </c>
      <c r="G501" s="1" t="str">
        <f t="shared" si="15"/>
        <v>Tue</v>
      </c>
      <c r="H501" s="7">
        <v>14980</v>
      </c>
      <c r="I501" s="6">
        <v>42</v>
      </c>
    </row>
    <row r="502" spans="1:9" x14ac:dyDescent="0.25">
      <c r="A502" t="s">
        <v>6</v>
      </c>
      <c r="B502" t="s">
        <v>21</v>
      </c>
      <c r="C502" t="s">
        <v>20</v>
      </c>
      <c r="D502" s="1">
        <v>44665</v>
      </c>
      <c r="E502" s="1" t="str">
        <f>TEXT(Sales[[#This Row],[Date]],"mmm")</f>
        <v>Apr</v>
      </c>
      <c r="F502" s="1" t="str">
        <f t="shared" si="14"/>
        <v>2022</v>
      </c>
      <c r="G502" s="1" t="str">
        <f t="shared" si="15"/>
        <v>Thu</v>
      </c>
      <c r="H502" s="7">
        <v>1512</v>
      </c>
      <c r="I502" s="6">
        <v>73</v>
      </c>
    </row>
    <row r="503" spans="1:9" x14ac:dyDescent="0.25">
      <c r="A503" t="s">
        <v>6</v>
      </c>
      <c r="B503" t="s">
        <v>26</v>
      </c>
      <c r="C503" t="s">
        <v>16</v>
      </c>
      <c r="D503" s="1">
        <v>44749</v>
      </c>
      <c r="E503" s="1" t="str">
        <f>TEXT(Sales[[#This Row],[Date]],"mmm")</f>
        <v>Jul</v>
      </c>
      <c r="F503" s="1" t="str">
        <f t="shared" si="14"/>
        <v>2022</v>
      </c>
      <c r="G503" s="1" t="str">
        <f t="shared" si="15"/>
        <v>Thu</v>
      </c>
      <c r="H503" s="7">
        <v>6657</v>
      </c>
      <c r="I503" s="6">
        <v>154</v>
      </c>
    </row>
    <row r="504" spans="1:9" x14ac:dyDescent="0.25">
      <c r="A504" t="s">
        <v>53</v>
      </c>
      <c r="B504" t="s">
        <v>10</v>
      </c>
      <c r="C504" t="s">
        <v>8</v>
      </c>
      <c r="D504" s="1">
        <v>44797</v>
      </c>
      <c r="E504" s="1" t="str">
        <f>TEXT(Sales[[#This Row],[Date]],"mmm")</f>
        <v>Aug</v>
      </c>
      <c r="F504" s="1" t="str">
        <f t="shared" si="14"/>
        <v>2022</v>
      </c>
      <c r="G504" s="1" t="str">
        <f t="shared" si="15"/>
        <v>Wed</v>
      </c>
      <c r="H504" s="7">
        <v>3836</v>
      </c>
      <c r="I504" s="6">
        <v>71</v>
      </c>
    </row>
    <row r="505" spans="1:9" x14ac:dyDescent="0.25">
      <c r="A505" t="s">
        <v>6</v>
      </c>
      <c r="B505" t="s">
        <v>10</v>
      </c>
      <c r="C505" t="s">
        <v>30</v>
      </c>
      <c r="D505" s="1">
        <v>44616</v>
      </c>
      <c r="E505" s="1" t="str">
        <f>TEXT(Sales[[#This Row],[Date]],"mmm")</f>
        <v>Feb</v>
      </c>
      <c r="F505" s="1" t="str">
        <f t="shared" si="14"/>
        <v>2022</v>
      </c>
      <c r="G505" s="1" t="str">
        <f t="shared" si="15"/>
        <v>Thu</v>
      </c>
      <c r="H505" s="7">
        <v>8771</v>
      </c>
      <c r="I505" s="6">
        <v>127</v>
      </c>
    </row>
    <row r="506" spans="1:9" x14ac:dyDescent="0.25">
      <c r="A506" t="s">
        <v>31</v>
      </c>
      <c r="B506" t="s">
        <v>29</v>
      </c>
      <c r="C506" t="s">
        <v>51</v>
      </c>
      <c r="D506" s="1">
        <v>44690</v>
      </c>
      <c r="E506" s="1" t="str">
        <f>TEXT(Sales[[#This Row],[Date]],"mmm")</f>
        <v>May</v>
      </c>
      <c r="F506" s="1" t="str">
        <f t="shared" si="14"/>
        <v>2022</v>
      </c>
      <c r="G506" s="1" t="str">
        <f t="shared" si="15"/>
        <v>Mon</v>
      </c>
      <c r="H506" s="7">
        <v>651</v>
      </c>
      <c r="I506" s="6">
        <v>224</v>
      </c>
    </row>
    <row r="507" spans="1:9" x14ac:dyDescent="0.25">
      <c r="A507" t="s">
        <v>41</v>
      </c>
      <c r="B507" t="s">
        <v>15</v>
      </c>
      <c r="C507" t="s">
        <v>58</v>
      </c>
      <c r="D507" s="1">
        <v>44600</v>
      </c>
      <c r="E507" s="1" t="str">
        <f>TEXT(Sales[[#This Row],[Date]],"mmm")</f>
        <v>Feb</v>
      </c>
      <c r="F507" s="1" t="str">
        <f t="shared" si="14"/>
        <v>2022</v>
      </c>
      <c r="G507" s="1" t="str">
        <f t="shared" si="15"/>
        <v>Tue</v>
      </c>
      <c r="H507" s="7">
        <v>6706</v>
      </c>
      <c r="I507" s="6">
        <v>223</v>
      </c>
    </row>
    <row r="508" spans="1:9" x14ac:dyDescent="0.25">
      <c r="A508" t="s">
        <v>36</v>
      </c>
      <c r="B508" t="s">
        <v>7</v>
      </c>
      <c r="C508" t="s">
        <v>58</v>
      </c>
      <c r="D508" s="1">
        <v>44644</v>
      </c>
      <c r="E508" s="1" t="str">
        <f>TEXT(Sales[[#This Row],[Date]],"mmm")</f>
        <v>Mar</v>
      </c>
      <c r="F508" s="1" t="str">
        <f t="shared" si="14"/>
        <v>2022</v>
      </c>
      <c r="G508" s="1" t="str">
        <f t="shared" si="15"/>
        <v>Thu</v>
      </c>
      <c r="H508" s="7">
        <v>1421</v>
      </c>
      <c r="I508" s="6">
        <v>284</v>
      </c>
    </row>
    <row r="509" spans="1:9" x14ac:dyDescent="0.25">
      <c r="A509" t="s">
        <v>24</v>
      </c>
      <c r="B509" t="s">
        <v>26</v>
      </c>
      <c r="C509" t="s">
        <v>32</v>
      </c>
      <c r="D509" s="1">
        <v>44732</v>
      </c>
      <c r="E509" s="1" t="str">
        <f>TEXT(Sales[[#This Row],[Date]],"mmm")</f>
        <v>Jun</v>
      </c>
      <c r="F509" s="1" t="str">
        <f t="shared" si="14"/>
        <v>2022</v>
      </c>
      <c r="G509" s="1" t="str">
        <f t="shared" si="15"/>
        <v>Mon</v>
      </c>
      <c r="H509" s="7">
        <v>8526</v>
      </c>
      <c r="I509" s="6">
        <v>73</v>
      </c>
    </row>
    <row r="510" spans="1:9" x14ac:dyDescent="0.25">
      <c r="A510" t="s">
        <v>28</v>
      </c>
      <c r="B510" t="s">
        <v>29</v>
      </c>
      <c r="C510" t="s">
        <v>45</v>
      </c>
      <c r="D510" s="1">
        <v>44627</v>
      </c>
      <c r="E510" s="1" t="str">
        <f>TEXT(Sales[[#This Row],[Date]],"mmm")</f>
        <v>Mar</v>
      </c>
      <c r="F510" s="1" t="str">
        <f t="shared" si="14"/>
        <v>2022</v>
      </c>
      <c r="G510" s="1" t="str">
        <f t="shared" si="15"/>
        <v>Mon</v>
      </c>
      <c r="H510" s="7">
        <v>1435</v>
      </c>
      <c r="I510" s="6">
        <v>112</v>
      </c>
    </row>
    <row r="511" spans="1:9" x14ac:dyDescent="0.25">
      <c r="A511" t="s">
        <v>41</v>
      </c>
      <c r="B511" t="s">
        <v>15</v>
      </c>
      <c r="C511" t="s">
        <v>42</v>
      </c>
      <c r="D511" s="1">
        <v>44732</v>
      </c>
      <c r="E511" s="1" t="str">
        <f>TEXT(Sales[[#This Row],[Date]],"mmm")</f>
        <v>Jun</v>
      </c>
      <c r="F511" s="1" t="str">
        <f t="shared" si="14"/>
        <v>2022</v>
      </c>
      <c r="G511" s="1" t="str">
        <f t="shared" si="15"/>
        <v>Mon</v>
      </c>
      <c r="H511" s="7">
        <v>7434</v>
      </c>
      <c r="I511" s="6">
        <v>85</v>
      </c>
    </row>
    <row r="512" spans="1:9" x14ac:dyDescent="0.25">
      <c r="A512" t="s">
        <v>17</v>
      </c>
      <c r="B512" t="s">
        <v>21</v>
      </c>
      <c r="C512" t="s">
        <v>35</v>
      </c>
      <c r="D512" s="1">
        <v>44609</v>
      </c>
      <c r="E512" s="1" t="str">
        <f>TEXT(Sales[[#This Row],[Date]],"mmm")</f>
        <v>Feb</v>
      </c>
      <c r="F512" s="1" t="str">
        <f t="shared" si="14"/>
        <v>2022</v>
      </c>
      <c r="G512" s="1" t="str">
        <f t="shared" si="15"/>
        <v>Thu</v>
      </c>
      <c r="H512" s="7">
        <v>15316</v>
      </c>
      <c r="I512" s="6">
        <v>270</v>
      </c>
    </row>
    <row r="513" spans="1:9" x14ac:dyDescent="0.25">
      <c r="A513" t="s">
        <v>53</v>
      </c>
      <c r="B513" t="s">
        <v>7</v>
      </c>
      <c r="C513" t="s">
        <v>18</v>
      </c>
      <c r="D513" s="1">
        <v>44587</v>
      </c>
      <c r="E513" s="1" t="str">
        <f>TEXT(Sales[[#This Row],[Date]],"mmm")</f>
        <v>Jan</v>
      </c>
      <c r="F513" s="1" t="str">
        <f t="shared" si="14"/>
        <v>2022</v>
      </c>
      <c r="G513" s="1" t="str">
        <f t="shared" si="15"/>
        <v>Wed</v>
      </c>
      <c r="H513" s="7">
        <v>10479</v>
      </c>
      <c r="I513" s="6">
        <v>45</v>
      </c>
    </row>
    <row r="514" spans="1:9" x14ac:dyDescent="0.25">
      <c r="A514" t="s">
        <v>53</v>
      </c>
      <c r="B514" t="s">
        <v>15</v>
      </c>
      <c r="C514" t="s">
        <v>8</v>
      </c>
      <c r="D514" s="1">
        <v>44683</v>
      </c>
      <c r="E514" s="1" t="str">
        <f>TEXT(Sales[[#This Row],[Date]],"mmm")</f>
        <v>May</v>
      </c>
      <c r="F514" s="1" t="str">
        <f t="shared" ref="F514:F577" si="16">TEXT(D:D,"yyyy")</f>
        <v>2022</v>
      </c>
      <c r="G514" s="1" t="str">
        <f t="shared" ref="G514:G577" si="17">TEXT(D:D,"ddd")</f>
        <v>Mon</v>
      </c>
      <c r="H514" s="7">
        <v>2751</v>
      </c>
      <c r="I514" s="6">
        <v>153</v>
      </c>
    </row>
    <row r="515" spans="1:9" x14ac:dyDescent="0.25">
      <c r="A515" t="s">
        <v>38</v>
      </c>
      <c r="B515" t="s">
        <v>29</v>
      </c>
      <c r="C515" t="s">
        <v>18</v>
      </c>
      <c r="D515" s="1">
        <v>44749</v>
      </c>
      <c r="E515" s="1" t="str">
        <f>TEXT(Sales[[#This Row],[Date]],"mmm")</f>
        <v>Jul</v>
      </c>
      <c r="F515" s="1" t="str">
        <f t="shared" si="16"/>
        <v>2022</v>
      </c>
      <c r="G515" s="1" t="str">
        <f t="shared" si="17"/>
        <v>Thu</v>
      </c>
      <c r="H515" s="7">
        <v>12586</v>
      </c>
      <c r="I515" s="6">
        <v>7</v>
      </c>
    </row>
    <row r="516" spans="1:9" x14ac:dyDescent="0.25">
      <c r="A516" t="s">
        <v>24</v>
      </c>
      <c r="B516" t="s">
        <v>15</v>
      </c>
      <c r="C516" t="s">
        <v>56</v>
      </c>
      <c r="D516" s="1">
        <v>44795</v>
      </c>
      <c r="E516" s="1" t="str">
        <f>TEXT(Sales[[#This Row],[Date]],"mmm")</f>
        <v>Aug</v>
      </c>
      <c r="F516" s="1" t="str">
        <f t="shared" si="16"/>
        <v>2022</v>
      </c>
      <c r="G516" s="1" t="str">
        <f t="shared" si="17"/>
        <v>Mon</v>
      </c>
      <c r="H516" s="7">
        <v>2786</v>
      </c>
      <c r="I516" s="6">
        <v>51</v>
      </c>
    </row>
    <row r="517" spans="1:9" x14ac:dyDescent="0.25">
      <c r="A517" t="s">
        <v>31</v>
      </c>
      <c r="B517" t="s">
        <v>15</v>
      </c>
      <c r="C517" t="s">
        <v>20</v>
      </c>
      <c r="D517" s="1">
        <v>44784</v>
      </c>
      <c r="E517" s="1" t="str">
        <f>TEXT(Sales[[#This Row],[Date]],"mmm")</f>
        <v>Aug</v>
      </c>
      <c r="F517" s="1" t="str">
        <f t="shared" si="16"/>
        <v>2022</v>
      </c>
      <c r="G517" s="1" t="str">
        <f t="shared" si="17"/>
        <v>Thu</v>
      </c>
      <c r="H517" s="7">
        <v>2303</v>
      </c>
      <c r="I517" s="6">
        <v>67</v>
      </c>
    </row>
    <row r="518" spans="1:9" x14ac:dyDescent="0.25">
      <c r="A518" t="s">
        <v>33</v>
      </c>
      <c r="B518" t="s">
        <v>7</v>
      </c>
      <c r="C518" t="s">
        <v>18</v>
      </c>
      <c r="D518" s="1">
        <v>44574</v>
      </c>
      <c r="E518" s="1" t="str">
        <f>TEXT(Sales[[#This Row],[Date]],"mmm")</f>
        <v>Jan</v>
      </c>
      <c r="F518" s="1" t="str">
        <f t="shared" si="16"/>
        <v>2022</v>
      </c>
      <c r="G518" s="1" t="str">
        <f t="shared" si="17"/>
        <v>Thu</v>
      </c>
      <c r="H518" s="7">
        <v>8113</v>
      </c>
      <c r="I518" s="6">
        <v>194</v>
      </c>
    </row>
    <row r="519" spans="1:9" x14ac:dyDescent="0.25">
      <c r="A519" t="s">
        <v>19</v>
      </c>
      <c r="B519" t="s">
        <v>15</v>
      </c>
      <c r="C519" t="s">
        <v>22</v>
      </c>
      <c r="D519" s="1">
        <v>44622</v>
      </c>
      <c r="E519" s="1" t="str">
        <f>TEXT(Sales[[#This Row],[Date]],"mmm")</f>
        <v>Mar</v>
      </c>
      <c r="F519" s="1" t="str">
        <f t="shared" si="16"/>
        <v>2022</v>
      </c>
      <c r="G519" s="1" t="str">
        <f t="shared" si="17"/>
        <v>Wed</v>
      </c>
      <c r="H519" s="7">
        <v>12271</v>
      </c>
      <c r="I519" s="6">
        <v>116</v>
      </c>
    </row>
    <row r="520" spans="1:9" x14ac:dyDescent="0.25">
      <c r="A520" t="s">
        <v>33</v>
      </c>
      <c r="B520" t="s">
        <v>15</v>
      </c>
      <c r="C520" t="s">
        <v>52</v>
      </c>
      <c r="D520" s="1">
        <v>44769</v>
      </c>
      <c r="E520" s="1" t="str">
        <f>TEXT(Sales[[#This Row],[Date]],"mmm")</f>
        <v>Jul</v>
      </c>
      <c r="F520" s="1" t="str">
        <f t="shared" si="16"/>
        <v>2022</v>
      </c>
      <c r="G520" s="1" t="str">
        <f t="shared" si="17"/>
        <v>Wed</v>
      </c>
      <c r="H520" s="7">
        <v>11298</v>
      </c>
      <c r="I520" s="6">
        <v>41</v>
      </c>
    </row>
    <row r="521" spans="1:9" x14ac:dyDescent="0.25">
      <c r="A521" t="s">
        <v>49</v>
      </c>
      <c r="B521" t="s">
        <v>21</v>
      </c>
      <c r="C521" t="s">
        <v>32</v>
      </c>
      <c r="D521" s="1">
        <v>44630</v>
      </c>
      <c r="E521" s="1" t="str">
        <f>TEXT(Sales[[#This Row],[Date]],"mmm")</f>
        <v>Mar</v>
      </c>
      <c r="F521" s="1" t="str">
        <f t="shared" si="16"/>
        <v>2022</v>
      </c>
      <c r="G521" s="1" t="str">
        <f t="shared" si="17"/>
        <v>Thu</v>
      </c>
      <c r="H521" s="7">
        <v>15855</v>
      </c>
      <c r="I521" s="6">
        <v>111</v>
      </c>
    </row>
    <row r="522" spans="1:9" x14ac:dyDescent="0.25">
      <c r="A522" t="s">
        <v>34</v>
      </c>
      <c r="B522" t="s">
        <v>26</v>
      </c>
      <c r="C522" t="s">
        <v>11</v>
      </c>
      <c r="D522" s="1">
        <v>44796</v>
      </c>
      <c r="E522" s="1" t="str">
        <f>TEXT(Sales[[#This Row],[Date]],"mmm")</f>
        <v>Aug</v>
      </c>
      <c r="F522" s="1" t="str">
        <f t="shared" si="16"/>
        <v>2022</v>
      </c>
      <c r="G522" s="1" t="str">
        <f t="shared" si="17"/>
        <v>Tue</v>
      </c>
      <c r="H522" s="7">
        <v>12404</v>
      </c>
      <c r="I522" s="6">
        <v>334</v>
      </c>
    </row>
    <row r="523" spans="1:9" x14ac:dyDescent="0.25">
      <c r="A523" t="s">
        <v>36</v>
      </c>
      <c r="B523" t="s">
        <v>26</v>
      </c>
      <c r="C523" t="s">
        <v>30</v>
      </c>
      <c r="D523" s="1">
        <v>44676</v>
      </c>
      <c r="E523" s="1" t="str">
        <f>TEXT(Sales[[#This Row],[Date]],"mmm")</f>
        <v>Apr</v>
      </c>
      <c r="F523" s="1" t="str">
        <f t="shared" si="16"/>
        <v>2022</v>
      </c>
      <c r="G523" s="1" t="str">
        <f t="shared" si="17"/>
        <v>Mon</v>
      </c>
      <c r="H523" s="7">
        <v>3990</v>
      </c>
      <c r="I523" s="6">
        <v>155</v>
      </c>
    </row>
    <row r="524" spans="1:9" x14ac:dyDescent="0.25">
      <c r="A524" t="s">
        <v>43</v>
      </c>
      <c r="B524" t="s">
        <v>7</v>
      </c>
      <c r="C524" t="s">
        <v>37</v>
      </c>
      <c r="D524" s="1">
        <v>44627</v>
      </c>
      <c r="E524" s="1" t="str">
        <f>TEXT(Sales[[#This Row],[Date]],"mmm")</f>
        <v>Mar</v>
      </c>
      <c r="F524" s="1" t="str">
        <f t="shared" si="16"/>
        <v>2022</v>
      </c>
      <c r="G524" s="1" t="str">
        <f t="shared" si="17"/>
        <v>Mon</v>
      </c>
      <c r="H524" s="7">
        <v>10808</v>
      </c>
      <c r="I524" s="6">
        <v>407</v>
      </c>
    </row>
    <row r="525" spans="1:9" x14ac:dyDescent="0.25">
      <c r="A525" t="s">
        <v>46</v>
      </c>
      <c r="B525" t="s">
        <v>7</v>
      </c>
      <c r="C525" t="s">
        <v>35</v>
      </c>
      <c r="D525" s="1">
        <v>44754</v>
      </c>
      <c r="E525" s="1" t="str">
        <f>TEXT(Sales[[#This Row],[Date]],"mmm")</f>
        <v>Jul</v>
      </c>
      <c r="F525" s="1" t="str">
        <f t="shared" si="16"/>
        <v>2022</v>
      </c>
      <c r="G525" s="1" t="str">
        <f t="shared" si="17"/>
        <v>Tue</v>
      </c>
      <c r="H525" s="7">
        <v>4858</v>
      </c>
      <c r="I525" s="6">
        <v>52</v>
      </c>
    </row>
    <row r="526" spans="1:9" x14ac:dyDescent="0.25">
      <c r="A526" t="s">
        <v>53</v>
      </c>
      <c r="B526" t="s">
        <v>26</v>
      </c>
      <c r="C526" t="s">
        <v>27</v>
      </c>
      <c r="D526" s="1">
        <v>44697</v>
      </c>
      <c r="E526" s="1" t="str">
        <f>TEXT(Sales[[#This Row],[Date]],"mmm")</f>
        <v>May</v>
      </c>
      <c r="F526" s="1" t="str">
        <f t="shared" si="16"/>
        <v>2022</v>
      </c>
      <c r="G526" s="1" t="str">
        <f t="shared" si="17"/>
        <v>Mon</v>
      </c>
      <c r="H526" s="7">
        <v>7742</v>
      </c>
      <c r="I526" s="6">
        <v>138</v>
      </c>
    </row>
    <row r="527" spans="1:9" x14ac:dyDescent="0.25">
      <c r="A527" t="s">
        <v>19</v>
      </c>
      <c r="B527" t="s">
        <v>10</v>
      </c>
      <c r="C527" t="s">
        <v>16</v>
      </c>
      <c r="D527" s="1">
        <v>44622</v>
      </c>
      <c r="E527" s="1" t="str">
        <f>TEXT(Sales[[#This Row],[Date]],"mmm")</f>
        <v>Mar</v>
      </c>
      <c r="F527" s="1" t="str">
        <f t="shared" si="16"/>
        <v>2022</v>
      </c>
      <c r="G527" s="1" t="str">
        <f t="shared" si="17"/>
        <v>Wed</v>
      </c>
      <c r="H527" s="7">
        <v>3752</v>
      </c>
      <c r="I527" s="6">
        <v>70</v>
      </c>
    </row>
    <row r="528" spans="1:9" x14ac:dyDescent="0.25">
      <c r="A528" t="s">
        <v>33</v>
      </c>
      <c r="B528" t="s">
        <v>21</v>
      </c>
      <c r="C528" t="s">
        <v>11</v>
      </c>
      <c r="D528" s="1">
        <v>44711</v>
      </c>
      <c r="E528" s="1" t="str">
        <f>TEXT(Sales[[#This Row],[Date]],"mmm")</f>
        <v>May</v>
      </c>
      <c r="F528" s="1" t="str">
        <f t="shared" si="16"/>
        <v>2022</v>
      </c>
      <c r="G528" s="1" t="str">
        <f t="shared" si="17"/>
        <v>Mon</v>
      </c>
      <c r="H528" s="7">
        <v>1218</v>
      </c>
      <c r="I528" s="6">
        <v>149</v>
      </c>
    </row>
    <row r="529" spans="1:9" x14ac:dyDescent="0.25">
      <c r="A529" t="s">
        <v>33</v>
      </c>
      <c r="B529" t="s">
        <v>7</v>
      </c>
      <c r="C529" t="s">
        <v>45</v>
      </c>
      <c r="D529" s="1">
        <v>44722</v>
      </c>
      <c r="E529" s="1" t="str">
        <f>TEXT(Sales[[#This Row],[Date]],"mmm")</f>
        <v>Jun</v>
      </c>
      <c r="F529" s="1" t="str">
        <f t="shared" si="16"/>
        <v>2022</v>
      </c>
      <c r="G529" s="1" t="str">
        <f t="shared" si="17"/>
        <v>Fri</v>
      </c>
      <c r="H529" s="7">
        <v>10983</v>
      </c>
      <c r="I529" s="6">
        <v>179</v>
      </c>
    </row>
    <row r="530" spans="1:9" x14ac:dyDescent="0.25">
      <c r="A530" t="s">
        <v>23</v>
      </c>
      <c r="B530" t="s">
        <v>26</v>
      </c>
      <c r="C530" t="s">
        <v>18</v>
      </c>
      <c r="D530" s="1">
        <v>44767</v>
      </c>
      <c r="E530" s="1" t="str">
        <f>TEXT(Sales[[#This Row],[Date]],"mmm")</f>
        <v>Jul</v>
      </c>
      <c r="F530" s="1" t="str">
        <f t="shared" si="16"/>
        <v>2022</v>
      </c>
      <c r="G530" s="1" t="str">
        <f t="shared" si="17"/>
        <v>Mon</v>
      </c>
      <c r="H530" s="7">
        <v>6769</v>
      </c>
      <c r="I530" s="6">
        <v>353</v>
      </c>
    </row>
    <row r="531" spans="1:9" x14ac:dyDescent="0.25">
      <c r="A531" t="s">
        <v>34</v>
      </c>
      <c r="B531" t="s">
        <v>21</v>
      </c>
      <c r="C531" t="s">
        <v>8</v>
      </c>
      <c r="D531" s="1">
        <v>44721</v>
      </c>
      <c r="E531" s="1" t="str">
        <f>TEXT(Sales[[#This Row],[Date]],"mmm")</f>
        <v>Jun</v>
      </c>
      <c r="F531" s="1" t="str">
        <f t="shared" si="16"/>
        <v>2022</v>
      </c>
      <c r="G531" s="1" t="str">
        <f t="shared" si="17"/>
        <v>Thu</v>
      </c>
      <c r="H531" s="7">
        <v>4361</v>
      </c>
      <c r="I531" s="6">
        <v>97</v>
      </c>
    </row>
    <row r="532" spans="1:9" x14ac:dyDescent="0.25">
      <c r="A532" t="s">
        <v>43</v>
      </c>
      <c r="B532" t="s">
        <v>26</v>
      </c>
      <c r="C532" t="s">
        <v>37</v>
      </c>
      <c r="D532" s="1">
        <v>44693</v>
      </c>
      <c r="E532" s="1" t="str">
        <f>TEXT(Sales[[#This Row],[Date]],"mmm")</f>
        <v>May</v>
      </c>
      <c r="F532" s="1" t="str">
        <f t="shared" si="16"/>
        <v>2022</v>
      </c>
      <c r="G532" s="1" t="str">
        <f t="shared" si="17"/>
        <v>Thu</v>
      </c>
      <c r="H532" s="7">
        <v>777</v>
      </c>
      <c r="I532" s="6">
        <v>60</v>
      </c>
    </row>
    <row r="533" spans="1:9" x14ac:dyDescent="0.25">
      <c r="A533" t="s">
        <v>19</v>
      </c>
      <c r="B533" t="s">
        <v>26</v>
      </c>
      <c r="C533" t="s">
        <v>32</v>
      </c>
      <c r="D533" s="1">
        <v>44690</v>
      </c>
      <c r="E533" s="1" t="str">
        <f>TEXT(Sales[[#This Row],[Date]],"mmm")</f>
        <v>May</v>
      </c>
      <c r="F533" s="1" t="str">
        <f t="shared" si="16"/>
        <v>2022</v>
      </c>
      <c r="G533" s="1" t="str">
        <f t="shared" si="17"/>
        <v>Mon</v>
      </c>
      <c r="H533" s="7">
        <v>3843</v>
      </c>
      <c r="I533" s="6">
        <v>5</v>
      </c>
    </row>
    <row r="534" spans="1:9" x14ac:dyDescent="0.25">
      <c r="A534" t="s">
        <v>23</v>
      </c>
      <c r="B534" t="s">
        <v>29</v>
      </c>
      <c r="C534" t="s">
        <v>45</v>
      </c>
      <c r="D534" s="1">
        <v>44782</v>
      </c>
      <c r="E534" s="1" t="str">
        <f>TEXT(Sales[[#This Row],[Date]],"mmm")</f>
        <v>Aug</v>
      </c>
      <c r="F534" s="1" t="str">
        <f t="shared" si="16"/>
        <v>2022</v>
      </c>
      <c r="G534" s="1" t="str">
        <f t="shared" si="17"/>
        <v>Tue</v>
      </c>
      <c r="H534" s="7">
        <v>6930</v>
      </c>
      <c r="I534" s="6">
        <v>182</v>
      </c>
    </row>
    <row r="535" spans="1:9" x14ac:dyDescent="0.25">
      <c r="A535" t="s">
        <v>9</v>
      </c>
      <c r="B535" t="s">
        <v>10</v>
      </c>
      <c r="C535" t="s">
        <v>52</v>
      </c>
      <c r="D535" s="1">
        <v>44664</v>
      </c>
      <c r="E535" s="1" t="str">
        <f>TEXT(Sales[[#This Row],[Date]],"mmm")</f>
        <v>Apr</v>
      </c>
      <c r="F535" s="1" t="str">
        <f t="shared" si="16"/>
        <v>2022</v>
      </c>
      <c r="G535" s="1" t="str">
        <f t="shared" si="17"/>
        <v>Wed</v>
      </c>
      <c r="H535" s="7">
        <v>5733</v>
      </c>
      <c r="I535" s="6">
        <v>114</v>
      </c>
    </row>
    <row r="536" spans="1:9" x14ac:dyDescent="0.25">
      <c r="A536" t="s">
        <v>48</v>
      </c>
      <c r="B536" t="s">
        <v>26</v>
      </c>
      <c r="C536" t="s">
        <v>57</v>
      </c>
      <c r="D536" s="1">
        <v>44683</v>
      </c>
      <c r="E536" s="1" t="str">
        <f>TEXT(Sales[[#This Row],[Date]],"mmm")</f>
        <v>May</v>
      </c>
      <c r="F536" s="1" t="str">
        <f t="shared" si="16"/>
        <v>2022</v>
      </c>
      <c r="G536" s="1" t="str">
        <f t="shared" si="17"/>
        <v>Mon</v>
      </c>
      <c r="H536" s="7">
        <v>8393</v>
      </c>
      <c r="I536" s="6">
        <v>46</v>
      </c>
    </row>
    <row r="537" spans="1:9" x14ac:dyDescent="0.25">
      <c r="A537" t="s">
        <v>54</v>
      </c>
      <c r="B537" t="s">
        <v>26</v>
      </c>
      <c r="C537" t="s">
        <v>18</v>
      </c>
      <c r="D537" s="1">
        <v>44782</v>
      </c>
      <c r="E537" s="1" t="str">
        <f>TEXT(Sales[[#This Row],[Date]],"mmm")</f>
        <v>Aug</v>
      </c>
      <c r="F537" s="1" t="str">
        <f t="shared" si="16"/>
        <v>2022</v>
      </c>
      <c r="G537" s="1" t="str">
        <f t="shared" si="17"/>
        <v>Tue</v>
      </c>
      <c r="H537" s="7">
        <v>3822</v>
      </c>
      <c r="I537" s="6">
        <v>320</v>
      </c>
    </row>
    <row r="538" spans="1:9" x14ac:dyDescent="0.25">
      <c r="A538" t="s">
        <v>50</v>
      </c>
      <c r="B538" t="s">
        <v>15</v>
      </c>
      <c r="C538" t="s">
        <v>51</v>
      </c>
      <c r="D538" s="1">
        <v>44796</v>
      </c>
      <c r="E538" s="1" t="str">
        <f>TEXT(Sales[[#This Row],[Date]],"mmm")</f>
        <v>Aug</v>
      </c>
      <c r="F538" s="1" t="str">
        <f t="shared" si="16"/>
        <v>2022</v>
      </c>
      <c r="G538" s="1" t="str">
        <f t="shared" si="17"/>
        <v>Tue</v>
      </c>
      <c r="H538" s="7">
        <v>6342</v>
      </c>
      <c r="I538" s="6">
        <v>178</v>
      </c>
    </row>
    <row r="539" spans="1:9" x14ac:dyDescent="0.25">
      <c r="A539" t="s">
        <v>19</v>
      </c>
      <c r="B539" t="s">
        <v>10</v>
      </c>
      <c r="C539" t="s">
        <v>39</v>
      </c>
      <c r="D539" s="1">
        <v>44694</v>
      </c>
      <c r="E539" s="1" t="str">
        <f>TEXT(Sales[[#This Row],[Date]],"mmm")</f>
        <v>May</v>
      </c>
      <c r="F539" s="1" t="str">
        <f t="shared" si="16"/>
        <v>2022</v>
      </c>
      <c r="G539" s="1" t="str">
        <f t="shared" si="17"/>
        <v>Fri</v>
      </c>
      <c r="H539" s="7">
        <v>6510</v>
      </c>
      <c r="I539" s="6">
        <v>170</v>
      </c>
    </row>
    <row r="540" spans="1:9" x14ac:dyDescent="0.25">
      <c r="A540" t="s">
        <v>31</v>
      </c>
      <c r="B540" t="s">
        <v>26</v>
      </c>
      <c r="C540" t="s">
        <v>45</v>
      </c>
      <c r="D540" s="1">
        <v>44593</v>
      </c>
      <c r="E540" s="1" t="str">
        <f>TEXT(Sales[[#This Row],[Date]],"mmm")</f>
        <v>Feb</v>
      </c>
      <c r="F540" s="1" t="str">
        <f t="shared" si="16"/>
        <v>2022</v>
      </c>
      <c r="G540" s="1" t="str">
        <f t="shared" si="17"/>
        <v>Tue</v>
      </c>
      <c r="H540" s="7">
        <v>10171</v>
      </c>
      <c r="I540" s="6">
        <v>67</v>
      </c>
    </row>
    <row r="541" spans="1:9" x14ac:dyDescent="0.25">
      <c r="A541" t="s">
        <v>50</v>
      </c>
      <c r="B541" t="s">
        <v>26</v>
      </c>
      <c r="C541" t="s">
        <v>22</v>
      </c>
      <c r="D541" s="1">
        <v>44735</v>
      </c>
      <c r="E541" s="1" t="str">
        <f>TEXT(Sales[[#This Row],[Date]],"mmm")</f>
        <v>Jun</v>
      </c>
      <c r="F541" s="1" t="str">
        <f t="shared" si="16"/>
        <v>2022</v>
      </c>
      <c r="G541" s="1" t="str">
        <f t="shared" si="17"/>
        <v>Thu</v>
      </c>
      <c r="H541" s="7">
        <v>5908</v>
      </c>
      <c r="I541" s="6">
        <v>301</v>
      </c>
    </row>
    <row r="542" spans="1:9" x14ac:dyDescent="0.25">
      <c r="A542" t="s">
        <v>53</v>
      </c>
      <c r="B542" t="s">
        <v>7</v>
      </c>
      <c r="C542" t="s">
        <v>52</v>
      </c>
      <c r="D542" s="1">
        <v>44705</v>
      </c>
      <c r="E542" s="1" t="str">
        <f>TEXT(Sales[[#This Row],[Date]],"mmm")</f>
        <v>May</v>
      </c>
      <c r="F542" s="1" t="str">
        <f t="shared" si="16"/>
        <v>2022</v>
      </c>
      <c r="G542" s="1" t="str">
        <f t="shared" si="17"/>
        <v>Tue</v>
      </c>
      <c r="H542" s="7">
        <v>10164</v>
      </c>
      <c r="I542" s="6">
        <v>134</v>
      </c>
    </row>
    <row r="543" spans="1:9" x14ac:dyDescent="0.25">
      <c r="A543" t="s">
        <v>14</v>
      </c>
      <c r="B543" t="s">
        <v>29</v>
      </c>
      <c r="C543" t="s">
        <v>8</v>
      </c>
      <c r="D543" s="1">
        <v>44652</v>
      </c>
      <c r="E543" s="1" t="str">
        <f>TEXT(Sales[[#This Row],[Date]],"mmm")</f>
        <v>Apr</v>
      </c>
      <c r="F543" s="1" t="str">
        <f t="shared" si="16"/>
        <v>2022</v>
      </c>
      <c r="G543" s="1" t="str">
        <f t="shared" si="17"/>
        <v>Fri</v>
      </c>
      <c r="H543" s="7">
        <v>1064</v>
      </c>
      <c r="I543" s="6">
        <v>211</v>
      </c>
    </row>
    <row r="544" spans="1:9" x14ac:dyDescent="0.25">
      <c r="A544" t="s">
        <v>50</v>
      </c>
      <c r="B544" t="s">
        <v>29</v>
      </c>
      <c r="C544" t="s">
        <v>58</v>
      </c>
      <c r="D544" s="1">
        <v>44769</v>
      </c>
      <c r="E544" s="1" t="str">
        <f>TEXT(Sales[[#This Row],[Date]],"mmm")</f>
        <v>Jul</v>
      </c>
      <c r="F544" s="1" t="str">
        <f t="shared" si="16"/>
        <v>2022</v>
      </c>
      <c r="G544" s="1" t="str">
        <f t="shared" si="17"/>
        <v>Wed</v>
      </c>
      <c r="H544" s="7">
        <v>9716</v>
      </c>
      <c r="I544" s="6">
        <v>151</v>
      </c>
    </row>
    <row r="545" spans="1:9" x14ac:dyDescent="0.25">
      <c r="A545" t="s">
        <v>55</v>
      </c>
      <c r="B545" t="s">
        <v>10</v>
      </c>
      <c r="C545" t="s">
        <v>13</v>
      </c>
      <c r="D545" s="1">
        <v>44588</v>
      </c>
      <c r="E545" s="1" t="str">
        <f>TEXT(Sales[[#This Row],[Date]],"mmm")</f>
        <v>Jan</v>
      </c>
      <c r="F545" s="1" t="str">
        <f t="shared" si="16"/>
        <v>2022</v>
      </c>
      <c r="G545" s="1" t="str">
        <f t="shared" si="17"/>
        <v>Thu</v>
      </c>
      <c r="H545" s="7">
        <v>22050</v>
      </c>
      <c r="I545" s="6">
        <v>208</v>
      </c>
    </row>
    <row r="546" spans="1:9" x14ac:dyDescent="0.25">
      <c r="A546" t="s">
        <v>14</v>
      </c>
      <c r="B546" t="s">
        <v>10</v>
      </c>
      <c r="C546" t="s">
        <v>52</v>
      </c>
      <c r="D546" s="1">
        <v>44785</v>
      </c>
      <c r="E546" s="1" t="str">
        <f>TEXT(Sales[[#This Row],[Date]],"mmm")</f>
        <v>Aug</v>
      </c>
      <c r="F546" s="1" t="str">
        <f t="shared" si="16"/>
        <v>2022</v>
      </c>
      <c r="G546" s="1" t="str">
        <f t="shared" si="17"/>
        <v>Fri</v>
      </c>
      <c r="H546" s="7">
        <v>2541</v>
      </c>
      <c r="I546" s="6">
        <v>134</v>
      </c>
    </row>
    <row r="547" spans="1:9" x14ac:dyDescent="0.25">
      <c r="A547" t="s">
        <v>12</v>
      </c>
      <c r="B547" t="s">
        <v>29</v>
      </c>
      <c r="C547" t="s">
        <v>47</v>
      </c>
      <c r="D547" s="1">
        <v>44593</v>
      </c>
      <c r="E547" s="1" t="str">
        <f>TEXT(Sales[[#This Row],[Date]],"mmm")</f>
        <v>Feb</v>
      </c>
      <c r="F547" s="1" t="str">
        <f t="shared" si="16"/>
        <v>2022</v>
      </c>
      <c r="G547" s="1" t="str">
        <f t="shared" si="17"/>
        <v>Tue</v>
      </c>
      <c r="H547" s="7">
        <v>9989</v>
      </c>
      <c r="I547" s="6">
        <v>49</v>
      </c>
    </row>
    <row r="548" spans="1:9" x14ac:dyDescent="0.25">
      <c r="A548" t="s">
        <v>24</v>
      </c>
      <c r="B548" t="s">
        <v>10</v>
      </c>
      <c r="C548" t="s">
        <v>20</v>
      </c>
      <c r="D548" s="1">
        <v>44622</v>
      </c>
      <c r="E548" s="1" t="str">
        <f>TEXT(Sales[[#This Row],[Date]],"mmm")</f>
        <v>Mar</v>
      </c>
      <c r="F548" s="1" t="str">
        <f t="shared" si="16"/>
        <v>2022</v>
      </c>
      <c r="G548" s="1" t="str">
        <f t="shared" si="17"/>
        <v>Wed</v>
      </c>
      <c r="H548" s="7">
        <v>4739</v>
      </c>
      <c r="I548" s="6">
        <v>204</v>
      </c>
    </row>
    <row r="549" spans="1:9" x14ac:dyDescent="0.25">
      <c r="A549" t="s">
        <v>49</v>
      </c>
      <c r="B549" t="s">
        <v>15</v>
      </c>
      <c r="C549" t="s">
        <v>18</v>
      </c>
      <c r="D549" s="1">
        <v>44742</v>
      </c>
      <c r="E549" s="1" t="str">
        <f>TEXT(Sales[[#This Row],[Date]],"mmm")</f>
        <v>Jun</v>
      </c>
      <c r="F549" s="1" t="str">
        <f t="shared" si="16"/>
        <v>2022</v>
      </c>
      <c r="G549" s="1" t="str">
        <f t="shared" si="17"/>
        <v>Thu</v>
      </c>
      <c r="H549" s="7">
        <v>3185</v>
      </c>
      <c r="I549" s="6">
        <v>34</v>
      </c>
    </row>
    <row r="550" spans="1:9" x14ac:dyDescent="0.25">
      <c r="A550" t="s">
        <v>54</v>
      </c>
      <c r="B550" t="s">
        <v>15</v>
      </c>
      <c r="C550" t="s">
        <v>39</v>
      </c>
      <c r="D550" s="1">
        <v>44578</v>
      </c>
      <c r="E550" s="1" t="str">
        <f>TEXT(Sales[[#This Row],[Date]],"mmm")</f>
        <v>Jan</v>
      </c>
      <c r="F550" s="1" t="str">
        <f t="shared" si="16"/>
        <v>2022</v>
      </c>
      <c r="G550" s="1" t="str">
        <f t="shared" si="17"/>
        <v>Mon</v>
      </c>
      <c r="H550" s="7">
        <v>8225</v>
      </c>
      <c r="I550" s="6">
        <v>91</v>
      </c>
    </row>
    <row r="551" spans="1:9" x14ac:dyDescent="0.25">
      <c r="A551" t="s">
        <v>23</v>
      </c>
      <c r="B551" t="s">
        <v>26</v>
      </c>
      <c r="C551" t="s">
        <v>37</v>
      </c>
      <c r="D551" s="1">
        <v>44749</v>
      </c>
      <c r="E551" s="1" t="str">
        <f>TEXT(Sales[[#This Row],[Date]],"mmm")</f>
        <v>Jul</v>
      </c>
      <c r="F551" s="1" t="str">
        <f t="shared" si="16"/>
        <v>2022</v>
      </c>
      <c r="G551" s="1" t="str">
        <f t="shared" si="17"/>
        <v>Thu</v>
      </c>
      <c r="H551" s="7">
        <v>14301</v>
      </c>
      <c r="I551" s="6">
        <v>130</v>
      </c>
    </row>
    <row r="552" spans="1:9" x14ac:dyDescent="0.25">
      <c r="A552" t="s">
        <v>28</v>
      </c>
      <c r="B552" t="s">
        <v>21</v>
      </c>
      <c r="C552" t="s">
        <v>8</v>
      </c>
      <c r="D552" s="1">
        <v>44592</v>
      </c>
      <c r="E552" s="1" t="str">
        <f>TEXT(Sales[[#This Row],[Date]],"mmm")</f>
        <v>Jan</v>
      </c>
      <c r="F552" s="1" t="str">
        <f t="shared" si="16"/>
        <v>2022</v>
      </c>
      <c r="G552" s="1" t="str">
        <f t="shared" si="17"/>
        <v>Mon</v>
      </c>
      <c r="H552" s="7">
        <v>1316</v>
      </c>
      <c r="I552" s="6">
        <v>107</v>
      </c>
    </row>
    <row r="553" spans="1:9" x14ac:dyDescent="0.25">
      <c r="A553" t="s">
        <v>34</v>
      </c>
      <c r="B553" t="s">
        <v>7</v>
      </c>
      <c r="C553" t="s">
        <v>18</v>
      </c>
      <c r="D553" s="1">
        <v>44783</v>
      </c>
      <c r="E553" s="1" t="str">
        <f>TEXT(Sales[[#This Row],[Date]],"mmm")</f>
        <v>Aug</v>
      </c>
      <c r="F553" s="1" t="str">
        <f t="shared" si="16"/>
        <v>2022</v>
      </c>
      <c r="G553" s="1" t="str">
        <f t="shared" si="17"/>
        <v>Wed</v>
      </c>
      <c r="H553" s="7">
        <v>3486</v>
      </c>
      <c r="I553" s="6">
        <v>121</v>
      </c>
    </row>
    <row r="554" spans="1:9" x14ac:dyDescent="0.25">
      <c r="A554" t="s">
        <v>34</v>
      </c>
      <c r="B554" t="s">
        <v>26</v>
      </c>
      <c r="C554" t="s">
        <v>13</v>
      </c>
      <c r="D554" s="1">
        <v>44791</v>
      </c>
      <c r="E554" s="1" t="str">
        <f>TEXT(Sales[[#This Row],[Date]],"mmm")</f>
        <v>Aug</v>
      </c>
      <c r="F554" s="1" t="str">
        <f t="shared" si="16"/>
        <v>2022</v>
      </c>
      <c r="G554" s="1" t="str">
        <f t="shared" si="17"/>
        <v>Thu</v>
      </c>
      <c r="H554" s="7">
        <v>13930</v>
      </c>
      <c r="I554" s="6">
        <v>339</v>
      </c>
    </row>
    <row r="555" spans="1:9" x14ac:dyDescent="0.25">
      <c r="A555" t="s">
        <v>23</v>
      </c>
      <c r="B555" t="s">
        <v>21</v>
      </c>
      <c r="C555" t="s">
        <v>44</v>
      </c>
      <c r="D555" s="1">
        <v>44727</v>
      </c>
      <c r="E555" s="1" t="str">
        <f>TEXT(Sales[[#This Row],[Date]],"mmm")</f>
        <v>Jun</v>
      </c>
      <c r="F555" s="1" t="str">
        <f t="shared" si="16"/>
        <v>2022</v>
      </c>
      <c r="G555" s="1" t="str">
        <f t="shared" si="17"/>
        <v>Wed</v>
      </c>
      <c r="H555" s="7">
        <v>5509</v>
      </c>
      <c r="I555" s="6">
        <v>321</v>
      </c>
    </row>
    <row r="556" spans="1:9" x14ac:dyDescent="0.25">
      <c r="A556" t="s">
        <v>33</v>
      </c>
      <c r="B556" t="s">
        <v>26</v>
      </c>
      <c r="C556" t="s">
        <v>56</v>
      </c>
      <c r="D556" s="1">
        <v>44587</v>
      </c>
      <c r="E556" s="1" t="str">
        <f>TEXT(Sales[[#This Row],[Date]],"mmm")</f>
        <v>Jan</v>
      </c>
      <c r="F556" s="1" t="str">
        <f t="shared" si="16"/>
        <v>2022</v>
      </c>
      <c r="G556" s="1" t="str">
        <f t="shared" si="17"/>
        <v>Wed</v>
      </c>
      <c r="H556" s="7">
        <v>8470</v>
      </c>
      <c r="I556" s="6">
        <v>9</v>
      </c>
    </row>
    <row r="557" spans="1:9" x14ac:dyDescent="0.25">
      <c r="A557" t="s">
        <v>49</v>
      </c>
      <c r="B557" t="s">
        <v>26</v>
      </c>
      <c r="C557" t="s">
        <v>39</v>
      </c>
      <c r="D557" s="1">
        <v>44680</v>
      </c>
      <c r="E557" s="1" t="str">
        <f>TEXT(Sales[[#This Row],[Date]],"mmm")</f>
        <v>Apr</v>
      </c>
      <c r="F557" s="1" t="str">
        <f t="shared" si="16"/>
        <v>2022</v>
      </c>
      <c r="G557" s="1" t="str">
        <f t="shared" si="17"/>
        <v>Fri</v>
      </c>
      <c r="H557" s="7">
        <v>77</v>
      </c>
      <c r="I557" s="6">
        <v>69</v>
      </c>
    </row>
    <row r="558" spans="1:9" x14ac:dyDescent="0.25">
      <c r="A558" t="s">
        <v>28</v>
      </c>
      <c r="B558" t="s">
        <v>29</v>
      </c>
      <c r="C558" t="s">
        <v>44</v>
      </c>
      <c r="D558" s="1">
        <v>44623</v>
      </c>
      <c r="E558" s="1" t="str">
        <f>TEXT(Sales[[#This Row],[Date]],"mmm")</f>
        <v>Mar</v>
      </c>
      <c r="F558" s="1" t="str">
        <f t="shared" si="16"/>
        <v>2022</v>
      </c>
      <c r="G558" s="1" t="str">
        <f t="shared" si="17"/>
        <v>Thu</v>
      </c>
      <c r="H558" s="7">
        <v>3381</v>
      </c>
      <c r="I558" s="6">
        <v>72</v>
      </c>
    </row>
    <row r="559" spans="1:9" x14ac:dyDescent="0.25">
      <c r="A559" t="s">
        <v>41</v>
      </c>
      <c r="B559" t="s">
        <v>15</v>
      </c>
      <c r="C559" t="s">
        <v>47</v>
      </c>
      <c r="D559" s="1">
        <v>44614</v>
      </c>
      <c r="E559" s="1" t="str">
        <f>TEXT(Sales[[#This Row],[Date]],"mmm")</f>
        <v>Feb</v>
      </c>
      <c r="F559" s="1" t="str">
        <f t="shared" si="16"/>
        <v>2022</v>
      </c>
      <c r="G559" s="1" t="str">
        <f t="shared" si="17"/>
        <v>Tue</v>
      </c>
      <c r="H559" s="7">
        <v>4102</v>
      </c>
      <c r="I559" s="6">
        <v>392</v>
      </c>
    </row>
    <row r="560" spans="1:9" x14ac:dyDescent="0.25">
      <c r="A560" t="s">
        <v>17</v>
      </c>
      <c r="B560" t="s">
        <v>26</v>
      </c>
      <c r="C560" t="s">
        <v>16</v>
      </c>
      <c r="D560" s="1">
        <v>44624</v>
      </c>
      <c r="E560" s="1" t="str">
        <f>TEXT(Sales[[#This Row],[Date]],"mmm")</f>
        <v>Mar</v>
      </c>
      <c r="F560" s="1" t="str">
        <f t="shared" si="16"/>
        <v>2022</v>
      </c>
      <c r="G560" s="1" t="str">
        <f t="shared" si="17"/>
        <v>Fri</v>
      </c>
      <c r="H560" s="7">
        <v>3577</v>
      </c>
      <c r="I560" s="6">
        <v>158</v>
      </c>
    </row>
    <row r="561" spans="1:9" x14ac:dyDescent="0.25">
      <c r="A561" t="s">
        <v>43</v>
      </c>
      <c r="B561" t="s">
        <v>10</v>
      </c>
      <c r="C561" t="s">
        <v>16</v>
      </c>
      <c r="D561" s="1">
        <v>44749</v>
      </c>
      <c r="E561" s="1" t="str">
        <f>TEXT(Sales[[#This Row],[Date]],"mmm")</f>
        <v>Jul</v>
      </c>
      <c r="F561" s="1" t="str">
        <f t="shared" si="16"/>
        <v>2022</v>
      </c>
      <c r="G561" s="1" t="str">
        <f t="shared" si="17"/>
        <v>Thu</v>
      </c>
      <c r="H561" s="7">
        <v>2975</v>
      </c>
      <c r="I561" s="6">
        <v>9</v>
      </c>
    </row>
    <row r="562" spans="1:9" x14ac:dyDescent="0.25">
      <c r="A562" t="s">
        <v>50</v>
      </c>
      <c r="B562" t="s">
        <v>21</v>
      </c>
      <c r="C562" t="s">
        <v>57</v>
      </c>
      <c r="D562" s="1">
        <v>44729</v>
      </c>
      <c r="E562" s="1" t="str">
        <f>TEXT(Sales[[#This Row],[Date]],"mmm")</f>
        <v>Jun</v>
      </c>
      <c r="F562" s="1" t="str">
        <f t="shared" si="16"/>
        <v>2022</v>
      </c>
      <c r="G562" s="1" t="str">
        <f t="shared" si="17"/>
        <v>Fri</v>
      </c>
      <c r="H562" s="7">
        <v>4137</v>
      </c>
      <c r="I562" s="6">
        <v>347</v>
      </c>
    </row>
    <row r="563" spans="1:9" x14ac:dyDescent="0.25">
      <c r="A563" t="s">
        <v>14</v>
      </c>
      <c r="B563" t="s">
        <v>29</v>
      </c>
      <c r="C563" t="s">
        <v>57</v>
      </c>
      <c r="D563" s="1">
        <v>44775</v>
      </c>
      <c r="E563" s="1" t="str">
        <f>TEXT(Sales[[#This Row],[Date]],"mmm")</f>
        <v>Aug</v>
      </c>
      <c r="F563" s="1" t="str">
        <f t="shared" si="16"/>
        <v>2022</v>
      </c>
      <c r="G563" s="1" t="str">
        <f t="shared" si="17"/>
        <v>Tue</v>
      </c>
      <c r="H563" s="7">
        <v>9541</v>
      </c>
      <c r="I563" s="6">
        <v>114</v>
      </c>
    </row>
    <row r="564" spans="1:9" x14ac:dyDescent="0.25">
      <c r="A564" t="s">
        <v>17</v>
      </c>
      <c r="B564" t="s">
        <v>26</v>
      </c>
      <c r="C564" t="s">
        <v>56</v>
      </c>
      <c r="D564" s="1">
        <v>44785</v>
      </c>
      <c r="E564" s="1" t="str">
        <f>TEXT(Sales[[#This Row],[Date]],"mmm")</f>
        <v>Aug</v>
      </c>
      <c r="F564" s="1" t="str">
        <f t="shared" si="16"/>
        <v>2022</v>
      </c>
      <c r="G564" s="1" t="str">
        <f t="shared" si="17"/>
        <v>Fri</v>
      </c>
      <c r="H564" s="7">
        <v>8001</v>
      </c>
      <c r="I564" s="6">
        <v>120</v>
      </c>
    </row>
    <row r="565" spans="1:9" x14ac:dyDescent="0.25">
      <c r="A565" t="s">
        <v>53</v>
      </c>
      <c r="B565" t="s">
        <v>21</v>
      </c>
      <c r="C565" t="s">
        <v>13</v>
      </c>
      <c r="D565" s="1">
        <v>44589</v>
      </c>
      <c r="E565" s="1" t="str">
        <f>TEXT(Sales[[#This Row],[Date]],"mmm")</f>
        <v>Jan</v>
      </c>
      <c r="F565" s="1" t="str">
        <f t="shared" si="16"/>
        <v>2022</v>
      </c>
      <c r="G565" s="1" t="str">
        <f t="shared" si="17"/>
        <v>Fri</v>
      </c>
      <c r="H565" s="7">
        <v>5152</v>
      </c>
      <c r="I565" s="6">
        <v>333</v>
      </c>
    </row>
    <row r="566" spans="1:9" x14ac:dyDescent="0.25">
      <c r="A566" t="s">
        <v>49</v>
      </c>
      <c r="B566" t="s">
        <v>15</v>
      </c>
      <c r="C566" t="s">
        <v>27</v>
      </c>
      <c r="D566" s="1">
        <v>44680</v>
      </c>
      <c r="E566" s="1" t="str">
        <f>TEXT(Sales[[#This Row],[Date]],"mmm")</f>
        <v>Apr</v>
      </c>
      <c r="F566" s="1" t="str">
        <f t="shared" si="16"/>
        <v>2022</v>
      </c>
      <c r="G566" s="1" t="str">
        <f t="shared" si="17"/>
        <v>Fri</v>
      </c>
      <c r="H566" s="7">
        <v>11116</v>
      </c>
      <c r="I566" s="6">
        <v>432</v>
      </c>
    </row>
    <row r="567" spans="1:9" x14ac:dyDescent="0.25">
      <c r="A567" t="s">
        <v>33</v>
      </c>
      <c r="B567" t="s">
        <v>15</v>
      </c>
      <c r="C567" t="s">
        <v>45</v>
      </c>
      <c r="D567" s="1">
        <v>44656</v>
      </c>
      <c r="E567" s="1" t="str">
        <f>TEXT(Sales[[#This Row],[Date]],"mmm")</f>
        <v>Apr</v>
      </c>
      <c r="F567" s="1" t="str">
        <f t="shared" si="16"/>
        <v>2022</v>
      </c>
      <c r="G567" s="1" t="str">
        <f t="shared" si="17"/>
        <v>Tue</v>
      </c>
      <c r="H567" s="7">
        <v>13076</v>
      </c>
      <c r="I567" s="6">
        <v>236</v>
      </c>
    </row>
    <row r="568" spans="1:9" x14ac:dyDescent="0.25">
      <c r="A568" t="s">
        <v>41</v>
      </c>
      <c r="B568" t="s">
        <v>29</v>
      </c>
      <c r="C568" t="s">
        <v>45</v>
      </c>
      <c r="D568" s="1">
        <v>44579</v>
      </c>
      <c r="E568" s="1" t="str">
        <f>TEXT(Sales[[#This Row],[Date]],"mmm")</f>
        <v>Jan</v>
      </c>
      <c r="F568" s="1" t="str">
        <f t="shared" si="16"/>
        <v>2022</v>
      </c>
      <c r="G568" s="1" t="str">
        <f t="shared" si="17"/>
        <v>Tue</v>
      </c>
      <c r="H568" s="7">
        <v>10213</v>
      </c>
      <c r="I568" s="6">
        <v>135</v>
      </c>
    </row>
    <row r="569" spans="1:9" x14ac:dyDescent="0.25">
      <c r="A569" t="s">
        <v>6</v>
      </c>
      <c r="B569" t="s">
        <v>7</v>
      </c>
      <c r="C569" t="s">
        <v>56</v>
      </c>
      <c r="D569" s="1">
        <v>44697</v>
      </c>
      <c r="E569" s="1" t="str">
        <f>TEXT(Sales[[#This Row],[Date]],"mmm")</f>
        <v>May</v>
      </c>
      <c r="F569" s="1" t="str">
        <f t="shared" si="16"/>
        <v>2022</v>
      </c>
      <c r="G569" s="1" t="str">
        <f t="shared" si="17"/>
        <v>Mon</v>
      </c>
      <c r="H569" s="7">
        <v>2485</v>
      </c>
      <c r="I569" s="6">
        <v>97</v>
      </c>
    </row>
    <row r="570" spans="1:9" x14ac:dyDescent="0.25">
      <c r="A570" t="s">
        <v>49</v>
      </c>
      <c r="B570" t="s">
        <v>15</v>
      </c>
      <c r="C570" t="s">
        <v>44</v>
      </c>
      <c r="D570" s="1">
        <v>44797</v>
      </c>
      <c r="E570" s="1" t="str">
        <f>TEXT(Sales[[#This Row],[Date]],"mmm")</f>
        <v>Aug</v>
      </c>
      <c r="F570" s="1" t="str">
        <f t="shared" si="16"/>
        <v>2022</v>
      </c>
      <c r="G570" s="1" t="str">
        <f t="shared" si="17"/>
        <v>Wed</v>
      </c>
      <c r="H570" s="7">
        <v>8715</v>
      </c>
      <c r="I570" s="6">
        <v>168</v>
      </c>
    </row>
    <row r="571" spans="1:9" x14ac:dyDescent="0.25">
      <c r="A571" t="s">
        <v>38</v>
      </c>
      <c r="B571" t="s">
        <v>10</v>
      </c>
      <c r="C571" t="s">
        <v>11</v>
      </c>
      <c r="D571" s="1">
        <v>44579</v>
      </c>
      <c r="E571" s="1" t="str">
        <f>TEXT(Sales[[#This Row],[Date]],"mmm")</f>
        <v>Jan</v>
      </c>
      <c r="F571" s="1" t="str">
        <f t="shared" si="16"/>
        <v>2022</v>
      </c>
      <c r="G571" s="1" t="str">
        <f t="shared" si="17"/>
        <v>Tue</v>
      </c>
      <c r="H571" s="7">
        <v>273</v>
      </c>
      <c r="I571" s="6">
        <v>402</v>
      </c>
    </row>
    <row r="572" spans="1:9" x14ac:dyDescent="0.25">
      <c r="A572" t="s">
        <v>41</v>
      </c>
      <c r="B572" t="s">
        <v>26</v>
      </c>
      <c r="C572" t="s">
        <v>30</v>
      </c>
      <c r="D572" s="1">
        <v>44795</v>
      </c>
      <c r="E572" s="1" t="str">
        <f>TEXT(Sales[[#This Row],[Date]],"mmm")</f>
        <v>Aug</v>
      </c>
      <c r="F572" s="1" t="str">
        <f t="shared" si="16"/>
        <v>2022</v>
      </c>
      <c r="G572" s="1" t="str">
        <f t="shared" si="17"/>
        <v>Mon</v>
      </c>
      <c r="H572" s="7">
        <v>7623</v>
      </c>
      <c r="I572" s="6">
        <v>10</v>
      </c>
    </row>
    <row r="573" spans="1:9" x14ac:dyDescent="0.25">
      <c r="A573" t="s">
        <v>19</v>
      </c>
      <c r="B573" t="s">
        <v>7</v>
      </c>
      <c r="C573" t="s">
        <v>18</v>
      </c>
      <c r="D573" s="1">
        <v>44627</v>
      </c>
      <c r="E573" s="1" t="str">
        <f>TEXT(Sales[[#This Row],[Date]],"mmm")</f>
        <v>Mar</v>
      </c>
      <c r="F573" s="1" t="str">
        <f t="shared" si="16"/>
        <v>2022</v>
      </c>
      <c r="G573" s="1" t="str">
        <f t="shared" si="17"/>
        <v>Mon</v>
      </c>
      <c r="H573" s="7">
        <v>7</v>
      </c>
      <c r="I573" s="6">
        <v>84</v>
      </c>
    </row>
    <row r="574" spans="1:9" x14ac:dyDescent="0.25">
      <c r="A574" t="s">
        <v>34</v>
      </c>
      <c r="B574" t="s">
        <v>7</v>
      </c>
      <c r="C574" t="s">
        <v>52</v>
      </c>
      <c r="D574" s="1">
        <v>44624</v>
      </c>
      <c r="E574" s="1" t="str">
        <f>TEXT(Sales[[#This Row],[Date]],"mmm")</f>
        <v>Mar</v>
      </c>
      <c r="F574" s="1" t="str">
        <f t="shared" si="16"/>
        <v>2022</v>
      </c>
      <c r="G574" s="1" t="str">
        <f t="shared" si="17"/>
        <v>Fri</v>
      </c>
      <c r="H574" s="7">
        <v>3010</v>
      </c>
      <c r="I574" s="6">
        <v>69</v>
      </c>
    </row>
    <row r="575" spans="1:9" x14ac:dyDescent="0.25">
      <c r="A575" t="s">
        <v>54</v>
      </c>
      <c r="B575" t="s">
        <v>29</v>
      </c>
      <c r="C575" t="s">
        <v>45</v>
      </c>
      <c r="D575" s="1">
        <v>44673</v>
      </c>
      <c r="E575" s="1" t="str">
        <f>TEXT(Sales[[#This Row],[Date]],"mmm")</f>
        <v>Apr</v>
      </c>
      <c r="F575" s="1" t="str">
        <f t="shared" si="16"/>
        <v>2022</v>
      </c>
      <c r="G575" s="1" t="str">
        <f t="shared" si="17"/>
        <v>Fri</v>
      </c>
      <c r="H575" s="7">
        <v>11550</v>
      </c>
      <c r="I575" s="6">
        <v>111</v>
      </c>
    </row>
    <row r="576" spans="1:9" x14ac:dyDescent="0.25">
      <c r="A576" t="s">
        <v>41</v>
      </c>
      <c r="B576" t="s">
        <v>15</v>
      </c>
      <c r="C576" t="s">
        <v>37</v>
      </c>
      <c r="D576" s="1">
        <v>44721</v>
      </c>
      <c r="E576" s="1" t="str">
        <f>TEXT(Sales[[#This Row],[Date]],"mmm")</f>
        <v>Jun</v>
      </c>
      <c r="F576" s="1" t="str">
        <f t="shared" si="16"/>
        <v>2022</v>
      </c>
      <c r="G576" s="1" t="str">
        <f t="shared" si="17"/>
        <v>Thu</v>
      </c>
      <c r="H576" s="7">
        <v>4046</v>
      </c>
      <c r="I576" s="6">
        <v>89</v>
      </c>
    </row>
    <row r="577" spans="1:9" x14ac:dyDescent="0.25">
      <c r="A577" t="s">
        <v>14</v>
      </c>
      <c r="B577" t="s">
        <v>29</v>
      </c>
      <c r="C577" t="s">
        <v>42</v>
      </c>
      <c r="D577" s="1">
        <v>44767</v>
      </c>
      <c r="E577" s="1" t="str">
        <f>TEXT(Sales[[#This Row],[Date]],"mmm")</f>
        <v>Jul</v>
      </c>
      <c r="F577" s="1" t="str">
        <f t="shared" si="16"/>
        <v>2022</v>
      </c>
      <c r="G577" s="1" t="str">
        <f t="shared" si="17"/>
        <v>Mon</v>
      </c>
      <c r="H577" s="7">
        <v>8904</v>
      </c>
      <c r="I577" s="6">
        <v>199</v>
      </c>
    </row>
    <row r="578" spans="1:9" x14ac:dyDescent="0.25">
      <c r="A578" t="s">
        <v>14</v>
      </c>
      <c r="B578" t="s">
        <v>10</v>
      </c>
      <c r="C578" t="s">
        <v>16</v>
      </c>
      <c r="D578" s="1">
        <v>44776</v>
      </c>
      <c r="E578" s="1" t="str">
        <f>TEXT(Sales[[#This Row],[Date]],"mmm")</f>
        <v>Aug</v>
      </c>
      <c r="F578" s="1" t="str">
        <f t="shared" ref="F578:F641" si="18">TEXT(D:D,"yyyy")</f>
        <v>2022</v>
      </c>
      <c r="G578" s="1" t="str">
        <f t="shared" ref="G578:G641" si="19">TEXT(D:D,"ddd")</f>
        <v>Wed</v>
      </c>
      <c r="H578" s="7">
        <v>11298</v>
      </c>
      <c r="I578" s="6">
        <v>89</v>
      </c>
    </row>
    <row r="579" spans="1:9" x14ac:dyDescent="0.25">
      <c r="A579" t="s">
        <v>24</v>
      </c>
      <c r="B579" t="s">
        <v>15</v>
      </c>
      <c r="C579" t="s">
        <v>45</v>
      </c>
      <c r="D579" s="1">
        <v>44776</v>
      </c>
      <c r="E579" s="1" t="str">
        <f>TEXT(Sales[[#This Row],[Date]],"mmm")</f>
        <v>Aug</v>
      </c>
      <c r="F579" s="1" t="str">
        <f t="shared" si="18"/>
        <v>2022</v>
      </c>
      <c r="G579" s="1" t="str">
        <f t="shared" si="19"/>
        <v>Wed</v>
      </c>
      <c r="H579" s="7">
        <v>4396</v>
      </c>
      <c r="I579" s="6">
        <v>131</v>
      </c>
    </row>
    <row r="580" spans="1:9" x14ac:dyDescent="0.25">
      <c r="A580" t="s">
        <v>6</v>
      </c>
      <c r="B580" t="s">
        <v>7</v>
      </c>
      <c r="C580" t="s">
        <v>37</v>
      </c>
      <c r="D580" s="1">
        <v>44684</v>
      </c>
      <c r="E580" s="1" t="str">
        <f>TEXT(Sales[[#This Row],[Date]],"mmm")</f>
        <v>May</v>
      </c>
      <c r="F580" s="1" t="str">
        <f t="shared" si="18"/>
        <v>2022</v>
      </c>
      <c r="G580" s="1" t="str">
        <f t="shared" si="19"/>
        <v>Tue</v>
      </c>
      <c r="H580" s="7">
        <v>12068</v>
      </c>
      <c r="I580" s="6">
        <v>227</v>
      </c>
    </row>
    <row r="581" spans="1:9" x14ac:dyDescent="0.25">
      <c r="A581" t="s">
        <v>40</v>
      </c>
      <c r="B581" t="s">
        <v>29</v>
      </c>
      <c r="C581" t="s">
        <v>20</v>
      </c>
      <c r="D581" s="1">
        <v>44580</v>
      </c>
      <c r="E581" s="1" t="str">
        <f>TEXT(Sales[[#This Row],[Date]],"mmm")</f>
        <v>Jan</v>
      </c>
      <c r="F581" s="1" t="str">
        <f t="shared" si="18"/>
        <v>2022</v>
      </c>
      <c r="G581" s="1" t="str">
        <f t="shared" si="19"/>
        <v>Wed</v>
      </c>
      <c r="H581" s="7">
        <v>9772</v>
      </c>
      <c r="I581" s="6">
        <v>301</v>
      </c>
    </row>
    <row r="582" spans="1:9" x14ac:dyDescent="0.25">
      <c r="A582" t="s">
        <v>36</v>
      </c>
      <c r="B582" t="s">
        <v>26</v>
      </c>
      <c r="C582" t="s">
        <v>22</v>
      </c>
      <c r="D582" s="1">
        <v>44603</v>
      </c>
      <c r="E582" s="1" t="str">
        <f>TEXT(Sales[[#This Row],[Date]],"mmm")</f>
        <v>Feb</v>
      </c>
      <c r="F582" s="1" t="str">
        <f t="shared" si="18"/>
        <v>2022</v>
      </c>
      <c r="G582" s="1" t="str">
        <f t="shared" si="19"/>
        <v>Fri</v>
      </c>
      <c r="H582" s="7">
        <v>10458</v>
      </c>
      <c r="I582" s="6">
        <v>316</v>
      </c>
    </row>
    <row r="583" spans="1:9" x14ac:dyDescent="0.25">
      <c r="A583" t="s">
        <v>9</v>
      </c>
      <c r="B583" t="s">
        <v>10</v>
      </c>
      <c r="C583" t="s">
        <v>47</v>
      </c>
      <c r="D583" s="1">
        <v>44726</v>
      </c>
      <c r="E583" s="1" t="str">
        <f>TEXT(Sales[[#This Row],[Date]],"mmm")</f>
        <v>Jun</v>
      </c>
      <c r="F583" s="1" t="str">
        <f t="shared" si="18"/>
        <v>2022</v>
      </c>
      <c r="G583" s="1" t="str">
        <f t="shared" si="19"/>
        <v>Tue</v>
      </c>
      <c r="H583" s="7">
        <v>6426</v>
      </c>
      <c r="I583" s="6">
        <v>390</v>
      </c>
    </row>
    <row r="584" spans="1:9" x14ac:dyDescent="0.25">
      <c r="A584" t="s">
        <v>49</v>
      </c>
      <c r="B584" t="s">
        <v>26</v>
      </c>
      <c r="C584" t="s">
        <v>22</v>
      </c>
      <c r="D584" s="1">
        <v>44643</v>
      </c>
      <c r="E584" s="1" t="str">
        <f>TEXT(Sales[[#This Row],[Date]],"mmm")</f>
        <v>Mar</v>
      </c>
      <c r="F584" s="1" t="str">
        <f t="shared" si="18"/>
        <v>2022</v>
      </c>
      <c r="G584" s="1" t="str">
        <f t="shared" si="19"/>
        <v>Wed</v>
      </c>
      <c r="H584" s="7">
        <v>6188</v>
      </c>
      <c r="I584" s="6">
        <v>223</v>
      </c>
    </row>
    <row r="585" spans="1:9" x14ac:dyDescent="0.25">
      <c r="A585" t="s">
        <v>53</v>
      </c>
      <c r="B585" t="s">
        <v>29</v>
      </c>
      <c r="C585" t="s">
        <v>11</v>
      </c>
      <c r="D585" s="1">
        <v>44609</v>
      </c>
      <c r="E585" s="1" t="str">
        <f>TEXT(Sales[[#This Row],[Date]],"mmm")</f>
        <v>Feb</v>
      </c>
      <c r="F585" s="1" t="str">
        <f t="shared" si="18"/>
        <v>2022</v>
      </c>
      <c r="G585" s="1" t="str">
        <f t="shared" si="19"/>
        <v>Thu</v>
      </c>
      <c r="H585" s="7">
        <v>7504</v>
      </c>
      <c r="I585" s="6">
        <v>101</v>
      </c>
    </row>
    <row r="586" spans="1:9" x14ac:dyDescent="0.25">
      <c r="A586" t="s">
        <v>43</v>
      </c>
      <c r="B586" t="s">
        <v>29</v>
      </c>
      <c r="C586" t="s">
        <v>16</v>
      </c>
      <c r="D586" s="1">
        <v>44637</v>
      </c>
      <c r="E586" s="1" t="str">
        <f>TEXT(Sales[[#This Row],[Date]],"mmm")</f>
        <v>Mar</v>
      </c>
      <c r="F586" s="1" t="str">
        <f t="shared" si="18"/>
        <v>2022</v>
      </c>
      <c r="G586" s="1" t="str">
        <f t="shared" si="19"/>
        <v>Thu</v>
      </c>
      <c r="H586" s="7">
        <v>1750</v>
      </c>
      <c r="I586" s="6">
        <v>479</v>
      </c>
    </row>
    <row r="587" spans="1:9" x14ac:dyDescent="0.25">
      <c r="A587" t="s">
        <v>28</v>
      </c>
      <c r="B587" t="s">
        <v>15</v>
      </c>
      <c r="C587" t="s">
        <v>39</v>
      </c>
      <c r="D587" s="1">
        <v>44741</v>
      </c>
      <c r="E587" s="1" t="str">
        <f>TEXT(Sales[[#This Row],[Date]],"mmm")</f>
        <v>Jun</v>
      </c>
      <c r="F587" s="1" t="str">
        <f t="shared" si="18"/>
        <v>2022</v>
      </c>
      <c r="G587" s="1" t="str">
        <f t="shared" si="19"/>
        <v>Wed</v>
      </c>
      <c r="H587" s="7">
        <v>5439</v>
      </c>
      <c r="I587" s="6">
        <v>287</v>
      </c>
    </row>
    <row r="588" spans="1:9" x14ac:dyDescent="0.25">
      <c r="A588" t="s">
        <v>55</v>
      </c>
      <c r="B588" t="s">
        <v>29</v>
      </c>
      <c r="C588" t="s">
        <v>52</v>
      </c>
      <c r="D588" s="1">
        <v>44797</v>
      </c>
      <c r="E588" s="1" t="str">
        <f>TEXT(Sales[[#This Row],[Date]],"mmm")</f>
        <v>Aug</v>
      </c>
      <c r="F588" s="1" t="str">
        <f t="shared" si="18"/>
        <v>2022</v>
      </c>
      <c r="G588" s="1" t="str">
        <f t="shared" si="19"/>
        <v>Wed</v>
      </c>
      <c r="H588" s="7">
        <v>15547</v>
      </c>
      <c r="I588" s="6">
        <v>269</v>
      </c>
    </row>
    <row r="589" spans="1:9" x14ac:dyDescent="0.25">
      <c r="A589" t="s">
        <v>12</v>
      </c>
      <c r="B589" t="s">
        <v>29</v>
      </c>
      <c r="C589" t="s">
        <v>39</v>
      </c>
      <c r="D589" s="1">
        <v>44746</v>
      </c>
      <c r="E589" s="1" t="str">
        <f>TEXT(Sales[[#This Row],[Date]],"mmm")</f>
        <v>Jul</v>
      </c>
      <c r="F589" s="1" t="str">
        <f t="shared" si="18"/>
        <v>2022</v>
      </c>
      <c r="G589" s="1" t="str">
        <f t="shared" si="19"/>
        <v>Mon</v>
      </c>
      <c r="H589" s="7">
        <v>11956</v>
      </c>
      <c r="I589" s="6">
        <v>277</v>
      </c>
    </row>
    <row r="590" spans="1:9" x14ac:dyDescent="0.25">
      <c r="A590" t="s">
        <v>36</v>
      </c>
      <c r="B590" t="s">
        <v>21</v>
      </c>
      <c r="C590" t="s">
        <v>47</v>
      </c>
      <c r="D590" s="1">
        <v>44648</v>
      </c>
      <c r="E590" s="1" t="str">
        <f>TEXT(Sales[[#This Row],[Date]],"mmm")</f>
        <v>Mar</v>
      </c>
      <c r="F590" s="1" t="str">
        <f t="shared" si="18"/>
        <v>2022</v>
      </c>
      <c r="G590" s="1" t="str">
        <f t="shared" si="19"/>
        <v>Mon</v>
      </c>
      <c r="H590" s="7">
        <v>2723</v>
      </c>
      <c r="I590" s="6">
        <v>67</v>
      </c>
    </row>
    <row r="591" spans="1:9" x14ac:dyDescent="0.25">
      <c r="A591" t="s">
        <v>38</v>
      </c>
      <c r="B591" t="s">
        <v>10</v>
      </c>
      <c r="C591" t="s">
        <v>16</v>
      </c>
      <c r="D591" s="1">
        <v>44670</v>
      </c>
      <c r="E591" s="1" t="str">
        <f>TEXT(Sales[[#This Row],[Date]],"mmm")</f>
        <v>Apr</v>
      </c>
      <c r="F591" s="1" t="str">
        <f t="shared" si="18"/>
        <v>2022</v>
      </c>
      <c r="G591" s="1" t="str">
        <f t="shared" si="19"/>
        <v>Tue</v>
      </c>
      <c r="H591" s="7">
        <v>19327</v>
      </c>
      <c r="I591" s="6">
        <v>135</v>
      </c>
    </row>
    <row r="592" spans="1:9" x14ac:dyDescent="0.25">
      <c r="A592" t="s">
        <v>55</v>
      </c>
      <c r="B592" t="s">
        <v>21</v>
      </c>
      <c r="C592" t="s">
        <v>8</v>
      </c>
      <c r="D592" s="1">
        <v>44579</v>
      </c>
      <c r="E592" s="1" t="str">
        <f>TEXT(Sales[[#This Row],[Date]],"mmm")</f>
        <v>Jan</v>
      </c>
      <c r="F592" s="1" t="str">
        <f t="shared" si="18"/>
        <v>2022</v>
      </c>
      <c r="G592" s="1" t="str">
        <f t="shared" si="19"/>
        <v>Tue</v>
      </c>
      <c r="H592" s="7">
        <v>9058</v>
      </c>
      <c r="I592" s="6">
        <v>229</v>
      </c>
    </row>
    <row r="593" spans="1:9" x14ac:dyDescent="0.25">
      <c r="A593" t="s">
        <v>9</v>
      </c>
      <c r="B593" t="s">
        <v>21</v>
      </c>
      <c r="C593" t="s">
        <v>42</v>
      </c>
      <c r="D593" s="1">
        <v>44578</v>
      </c>
      <c r="E593" s="1" t="str">
        <f>TEXT(Sales[[#This Row],[Date]],"mmm")</f>
        <v>Jan</v>
      </c>
      <c r="F593" s="1" t="str">
        <f t="shared" si="18"/>
        <v>2022</v>
      </c>
      <c r="G593" s="1" t="str">
        <f t="shared" si="19"/>
        <v>Mon</v>
      </c>
      <c r="H593" s="7">
        <v>2996</v>
      </c>
      <c r="I593" s="6">
        <v>88</v>
      </c>
    </row>
    <row r="594" spans="1:9" x14ac:dyDescent="0.25">
      <c r="A594" t="s">
        <v>48</v>
      </c>
      <c r="B594" t="s">
        <v>21</v>
      </c>
      <c r="C594" t="s">
        <v>8</v>
      </c>
      <c r="D594" s="1">
        <v>44607</v>
      </c>
      <c r="E594" s="1" t="str">
        <f>TEXT(Sales[[#This Row],[Date]],"mmm")</f>
        <v>Feb</v>
      </c>
      <c r="F594" s="1" t="str">
        <f t="shared" si="18"/>
        <v>2022</v>
      </c>
      <c r="G594" s="1" t="str">
        <f t="shared" si="19"/>
        <v>Tue</v>
      </c>
      <c r="H594" s="7">
        <v>8848</v>
      </c>
      <c r="I594" s="6">
        <v>211</v>
      </c>
    </row>
    <row r="595" spans="1:9" x14ac:dyDescent="0.25">
      <c r="A595" t="s">
        <v>48</v>
      </c>
      <c r="B595" t="s">
        <v>7</v>
      </c>
      <c r="C595" t="s">
        <v>37</v>
      </c>
      <c r="D595" s="1">
        <v>44603</v>
      </c>
      <c r="E595" s="1" t="str">
        <f>TEXT(Sales[[#This Row],[Date]],"mmm")</f>
        <v>Feb</v>
      </c>
      <c r="F595" s="1" t="str">
        <f t="shared" si="18"/>
        <v>2022</v>
      </c>
      <c r="G595" s="1" t="str">
        <f t="shared" si="19"/>
        <v>Fri</v>
      </c>
      <c r="H595" s="7">
        <v>14336</v>
      </c>
      <c r="I595" s="6">
        <v>293</v>
      </c>
    </row>
    <row r="596" spans="1:9" x14ac:dyDescent="0.25">
      <c r="A596" t="s">
        <v>50</v>
      </c>
      <c r="B596" t="s">
        <v>26</v>
      </c>
      <c r="C596" t="s">
        <v>45</v>
      </c>
      <c r="D596" s="1">
        <v>44641</v>
      </c>
      <c r="E596" s="1" t="str">
        <f>TEXT(Sales[[#This Row],[Date]],"mmm")</f>
        <v>Mar</v>
      </c>
      <c r="F596" s="1" t="str">
        <f t="shared" si="18"/>
        <v>2022</v>
      </c>
      <c r="G596" s="1" t="str">
        <f t="shared" si="19"/>
        <v>Mon</v>
      </c>
      <c r="H596" s="7">
        <v>16401</v>
      </c>
      <c r="I596" s="6">
        <v>179</v>
      </c>
    </row>
    <row r="597" spans="1:9" x14ac:dyDescent="0.25">
      <c r="A597" t="s">
        <v>19</v>
      </c>
      <c r="B597" t="s">
        <v>21</v>
      </c>
      <c r="C597" t="s">
        <v>47</v>
      </c>
      <c r="D597" s="1">
        <v>44566</v>
      </c>
      <c r="E597" s="1" t="str">
        <f>TEXT(Sales[[#This Row],[Date]],"mmm")</f>
        <v>Jan</v>
      </c>
      <c r="F597" s="1" t="str">
        <f t="shared" si="18"/>
        <v>2022</v>
      </c>
      <c r="G597" s="1" t="str">
        <f t="shared" si="19"/>
        <v>Wed</v>
      </c>
      <c r="H597" s="7">
        <v>5173</v>
      </c>
      <c r="I597" s="6">
        <v>129</v>
      </c>
    </row>
    <row r="598" spans="1:9" x14ac:dyDescent="0.25">
      <c r="A598" t="s">
        <v>23</v>
      </c>
      <c r="B598" t="s">
        <v>10</v>
      </c>
      <c r="C598" t="s">
        <v>51</v>
      </c>
      <c r="D598" s="1">
        <v>44711</v>
      </c>
      <c r="E598" s="1" t="str">
        <f>TEXT(Sales[[#This Row],[Date]],"mmm")</f>
        <v>May</v>
      </c>
      <c r="F598" s="1" t="str">
        <f t="shared" si="18"/>
        <v>2022</v>
      </c>
      <c r="G598" s="1" t="str">
        <f t="shared" si="19"/>
        <v>Mon</v>
      </c>
      <c r="H598" s="7">
        <v>6328</v>
      </c>
      <c r="I598" s="6">
        <v>164</v>
      </c>
    </row>
    <row r="599" spans="1:9" x14ac:dyDescent="0.25">
      <c r="A599" t="s">
        <v>6</v>
      </c>
      <c r="B599" t="s">
        <v>26</v>
      </c>
      <c r="C599" t="s">
        <v>18</v>
      </c>
      <c r="D599" s="1">
        <v>44565</v>
      </c>
      <c r="E599" s="1" t="str">
        <f>TEXT(Sales[[#This Row],[Date]],"mmm")</f>
        <v>Jan</v>
      </c>
      <c r="F599" s="1" t="str">
        <f t="shared" si="18"/>
        <v>2022</v>
      </c>
      <c r="G599" s="1" t="str">
        <f t="shared" si="19"/>
        <v>Tue</v>
      </c>
      <c r="H599" s="7">
        <v>2534</v>
      </c>
      <c r="I599" s="6">
        <v>219</v>
      </c>
    </row>
    <row r="600" spans="1:9" x14ac:dyDescent="0.25">
      <c r="A600" t="s">
        <v>34</v>
      </c>
      <c r="B600" t="s">
        <v>15</v>
      </c>
      <c r="C600" t="s">
        <v>42</v>
      </c>
      <c r="D600" s="1">
        <v>44673</v>
      </c>
      <c r="E600" s="1" t="str">
        <f>TEXT(Sales[[#This Row],[Date]],"mmm")</f>
        <v>Apr</v>
      </c>
      <c r="F600" s="1" t="str">
        <f t="shared" si="18"/>
        <v>2022</v>
      </c>
      <c r="G600" s="1" t="str">
        <f t="shared" si="19"/>
        <v>Fri</v>
      </c>
      <c r="H600" s="7">
        <v>1435</v>
      </c>
      <c r="I600" s="6">
        <v>258</v>
      </c>
    </row>
    <row r="601" spans="1:9" x14ac:dyDescent="0.25">
      <c r="A601" t="s">
        <v>12</v>
      </c>
      <c r="B601" t="s">
        <v>29</v>
      </c>
      <c r="C601" t="s">
        <v>37</v>
      </c>
      <c r="D601" s="1">
        <v>44602</v>
      </c>
      <c r="E601" s="1" t="str">
        <f>TEXT(Sales[[#This Row],[Date]],"mmm")</f>
        <v>Feb</v>
      </c>
      <c r="F601" s="1" t="str">
        <f t="shared" si="18"/>
        <v>2022</v>
      </c>
      <c r="G601" s="1" t="str">
        <f t="shared" si="19"/>
        <v>Thu</v>
      </c>
      <c r="H601" s="7">
        <v>3052</v>
      </c>
      <c r="I601" s="6">
        <v>116</v>
      </c>
    </row>
    <row r="602" spans="1:9" x14ac:dyDescent="0.25">
      <c r="A602" t="s">
        <v>54</v>
      </c>
      <c r="B602" t="s">
        <v>10</v>
      </c>
      <c r="C602" t="s">
        <v>39</v>
      </c>
      <c r="D602" s="1">
        <v>44785</v>
      </c>
      <c r="E602" s="1" t="str">
        <f>TEXT(Sales[[#This Row],[Date]],"mmm")</f>
        <v>Aug</v>
      </c>
      <c r="F602" s="1" t="str">
        <f t="shared" si="18"/>
        <v>2022</v>
      </c>
      <c r="G602" s="1" t="str">
        <f t="shared" si="19"/>
        <v>Fri</v>
      </c>
      <c r="H602" s="7">
        <v>910</v>
      </c>
      <c r="I602" s="6">
        <v>204</v>
      </c>
    </row>
    <row r="603" spans="1:9" x14ac:dyDescent="0.25">
      <c r="A603" t="s">
        <v>19</v>
      </c>
      <c r="B603" t="s">
        <v>26</v>
      </c>
      <c r="C603" t="s">
        <v>35</v>
      </c>
      <c r="D603" s="1">
        <v>44783</v>
      </c>
      <c r="E603" s="1" t="str">
        <f>TEXT(Sales[[#This Row],[Date]],"mmm")</f>
        <v>Aug</v>
      </c>
      <c r="F603" s="1" t="str">
        <f t="shared" si="18"/>
        <v>2022</v>
      </c>
      <c r="G603" s="1" t="str">
        <f t="shared" si="19"/>
        <v>Wed</v>
      </c>
      <c r="H603" s="7">
        <v>2331</v>
      </c>
      <c r="I603" s="6">
        <v>321</v>
      </c>
    </row>
    <row r="604" spans="1:9" x14ac:dyDescent="0.25">
      <c r="A604" t="s">
        <v>49</v>
      </c>
      <c r="B604" t="s">
        <v>15</v>
      </c>
      <c r="C604" t="s">
        <v>51</v>
      </c>
      <c r="D604" s="1">
        <v>44719</v>
      </c>
      <c r="E604" s="1" t="str">
        <f>TEXT(Sales[[#This Row],[Date]],"mmm")</f>
        <v>Jun</v>
      </c>
      <c r="F604" s="1" t="str">
        <f t="shared" si="18"/>
        <v>2022</v>
      </c>
      <c r="G604" s="1" t="str">
        <f t="shared" si="19"/>
        <v>Tue</v>
      </c>
      <c r="H604" s="7">
        <v>679</v>
      </c>
      <c r="I604" s="6">
        <v>56</v>
      </c>
    </row>
    <row r="605" spans="1:9" x14ac:dyDescent="0.25">
      <c r="A605" t="s">
        <v>6</v>
      </c>
      <c r="B605" t="s">
        <v>10</v>
      </c>
      <c r="C605" t="s">
        <v>56</v>
      </c>
      <c r="D605" s="1">
        <v>44718</v>
      </c>
      <c r="E605" s="1" t="str">
        <f>TEXT(Sales[[#This Row],[Date]],"mmm")</f>
        <v>Jun</v>
      </c>
      <c r="F605" s="1" t="str">
        <f t="shared" si="18"/>
        <v>2022</v>
      </c>
      <c r="G605" s="1" t="str">
        <f t="shared" si="19"/>
        <v>Mon</v>
      </c>
      <c r="H605" s="7">
        <v>2086</v>
      </c>
      <c r="I605" s="6">
        <v>74</v>
      </c>
    </row>
    <row r="606" spans="1:9" x14ac:dyDescent="0.25">
      <c r="A606" t="s">
        <v>31</v>
      </c>
      <c r="B606" t="s">
        <v>21</v>
      </c>
      <c r="C606" t="s">
        <v>56</v>
      </c>
      <c r="D606" s="1">
        <v>44656</v>
      </c>
      <c r="E606" s="1" t="str">
        <f>TEXT(Sales[[#This Row],[Date]],"mmm")</f>
        <v>Apr</v>
      </c>
      <c r="F606" s="1" t="str">
        <f t="shared" si="18"/>
        <v>2022</v>
      </c>
      <c r="G606" s="1" t="str">
        <f t="shared" si="19"/>
        <v>Tue</v>
      </c>
      <c r="H606" s="7">
        <v>5012</v>
      </c>
      <c r="I606" s="6">
        <v>189</v>
      </c>
    </row>
    <row r="607" spans="1:9" x14ac:dyDescent="0.25">
      <c r="A607" t="s">
        <v>46</v>
      </c>
      <c r="B607" t="s">
        <v>26</v>
      </c>
      <c r="C607" t="s">
        <v>22</v>
      </c>
      <c r="D607" s="1">
        <v>44669</v>
      </c>
      <c r="E607" s="1" t="str">
        <f>TEXT(Sales[[#This Row],[Date]],"mmm")</f>
        <v>Apr</v>
      </c>
      <c r="F607" s="1" t="str">
        <f t="shared" si="18"/>
        <v>2022</v>
      </c>
      <c r="G607" s="1" t="str">
        <f t="shared" si="19"/>
        <v>Mon</v>
      </c>
      <c r="H607" s="7">
        <v>4501</v>
      </c>
      <c r="I607" s="6">
        <v>131</v>
      </c>
    </row>
    <row r="608" spans="1:9" x14ac:dyDescent="0.25">
      <c r="A608" t="s">
        <v>48</v>
      </c>
      <c r="B608" t="s">
        <v>10</v>
      </c>
      <c r="C608" t="s">
        <v>22</v>
      </c>
      <c r="D608" s="1">
        <v>44592</v>
      </c>
      <c r="E608" s="1" t="str">
        <f>TEXT(Sales[[#This Row],[Date]],"mmm")</f>
        <v>Jan</v>
      </c>
      <c r="F608" s="1" t="str">
        <f t="shared" si="18"/>
        <v>2022</v>
      </c>
      <c r="G608" s="1" t="str">
        <f t="shared" si="19"/>
        <v>Mon</v>
      </c>
      <c r="H608" s="7">
        <v>13482</v>
      </c>
      <c r="I608" s="6">
        <v>15</v>
      </c>
    </row>
    <row r="609" spans="1:9" x14ac:dyDescent="0.25">
      <c r="A609" t="s">
        <v>53</v>
      </c>
      <c r="B609" t="s">
        <v>26</v>
      </c>
      <c r="C609" t="s">
        <v>56</v>
      </c>
      <c r="D609" s="1">
        <v>44795</v>
      </c>
      <c r="E609" s="1" t="str">
        <f>TEXT(Sales[[#This Row],[Date]],"mmm")</f>
        <v>Aug</v>
      </c>
      <c r="F609" s="1" t="str">
        <f t="shared" si="18"/>
        <v>2022</v>
      </c>
      <c r="G609" s="1" t="str">
        <f t="shared" si="19"/>
        <v>Mon</v>
      </c>
      <c r="H609" s="7">
        <v>5621</v>
      </c>
      <c r="I609" s="6">
        <v>140</v>
      </c>
    </row>
    <row r="610" spans="1:9" x14ac:dyDescent="0.25">
      <c r="A610" t="s">
        <v>6</v>
      </c>
      <c r="B610" t="s">
        <v>15</v>
      </c>
      <c r="C610" t="s">
        <v>18</v>
      </c>
      <c r="D610" s="1">
        <v>44617</v>
      </c>
      <c r="E610" s="1" t="str">
        <f>TEXT(Sales[[#This Row],[Date]],"mmm")</f>
        <v>Feb</v>
      </c>
      <c r="F610" s="1" t="str">
        <f t="shared" si="18"/>
        <v>2022</v>
      </c>
      <c r="G610" s="1" t="str">
        <f t="shared" si="19"/>
        <v>Fri</v>
      </c>
      <c r="H610" s="7">
        <v>10486</v>
      </c>
      <c r="I610" s="6">
        <v>198</v>
      </c>
    </row>
    <row r="611" spans="1:9" x14ac:dyDescent="0.25">
      <c r="A611" t="s">
        <v>14</v>
      </c>
      <c r="B611" t="s">
        <v>15</v>
      </c>
      <c r="C611" t="s">
        <v>8</v>
      </c>
      <c r="D611" s="1">
        <v>44614</v>
      </c>
      <c r="E611" s="1" t="str">
        <f>TEXT(Sales[[#This Row],[Date]],"mmm")</f>
        <v>Feb</v>
      </c>
      <c r="F611" s="1" t="str">
        <f t="shared" si="18"/>
        <v>2022</v>
      </c>
      <c r="G611" s="1" t="str">
        <f t="shared" si="19"/>
        <v>Tue</v>
      </c>
      <c r="H611" s="7">
        <v>17626</v>
      </c>
      <c r="I611" s="6">
        <v>103</v>
      </c>
    </row>
    <row r="612" spans="1:9" x14ac:dyDescent="0.25">
      <c r="A612" t="s">
        <v>17</v>
      </c>
      <c r="B612" t="s">
        <v>21</v>
      </c>
      <c r="C612" t="s">
        <v>37</v>
      </c>
      <c r="D612" s="1">
        <v>44573</v>
      </c>
      <c r="E612" s="1" t="str">
        <f>TEXT(Sales[[#This Row],[Date]],"mmm")</f>
        <v>Jan</v>
      </c>
      <c r="F612" s="1" t="str">
        <f t="shared" si="18"/>
        <v>2022</v>
      </c>
      <c r="G612" s="1" t="str">
        <f t="shared" si="19"/>
        <v>Wed</v>
      </c>
      <c r="H612" s="7">
        <v>4494</v>
      </c>
      <c r="I612" s="6">
        <v>187</v>
      </c>
    </row>
    <row r="613" spans="1:9" x14ac:dyDescent="0.25">
      <c r="A613" t="s">
        <v>23</v>
      </c>
      <c r="B613" t="s">
        <v>7</v>
      </c>
      <c r="C613" t="s">
        <v>47</v>
      </c>
      <c r="D613" s="1">
        <v>44706</v>
      </c>
      <c r="E613" s="1" t="str">
        <f>TEXT(Sales[[#This Row],[Date]],"mmm")</f>
        <v>May</v>
      </c>
      <c r="F613" s="1" t="str">
        <f t="shared" si="18"/>
        <v>2022</v>
      </c>
      <c r="G613" s="1" t="str">
        <f t="shared" si="19"/>
        <v>Wed</v>
      </c>
      <c r="H613" s="7">
        <v>105</v>
      </c>
      <c r="I613" s="6">
        <v>125</v>
      </c>
    </row>
    <row r="614" spans="1:9" x14ac:dyDescent="0.25">
      <c r="A614" t="s">
        <v>49</v>
      </c>
      <c r="B614" t="s">
        <v>10</v>
      </c>
      <c r="C614" t="s">
        <v>16</v>
      </c>
      <c r="D614" s="1">
        <v>44593</v>
      </c>
      <c r="E614" s="1" t="str">
        <f>TEXT(Sales[[#This Row],[Date]],"mmm")</f>
        <v>Feb</v>
      </c>
      <c r="F614" s="1" t="str">
        <f t="shared" si="18"/>
        <v>2022</v>
      </c>
      <c r="G614" s="1" t="str">
        <f t="shared" si="19"/>
        <v>Tue</v>
      </c>
      <c r="H614" s="7">
        <v>2464</v>
      </c>
      <c r="I614" s="6">
        <v>8</v>
      </c>
    </row>
    <row r="615" spans="1:9" x14ac:dyDescent="0.25">
      <c r="A615" t="s">
        <v>24</v>
      </c>
      <c r="B615" t="s">
        <v>7</v>
      </c>
      <c r="C615" t="s">
        <v>30</v>
      </c>
      <c r="D615" s="1">
        <v>44678</v>
      </c>
      <c r="E615" s="1" t="str">
        <f>TEXT(Sales[[#This Row],[Date]],"mmm")</f>
        <v>Apr</v>
      </c>
      <c r="F615" s="1" t="str">
        <f t="shared" si="18"/>
        <v>2022</v>
      </c>
      <c r="G615" s="1" t="str">
        <f t="shared" si="19"/>
        <v>Wed</v>
      </c>
      <c r="H615" s="7">
        <v>1379</v>
      </c>
      <c r="I615" s="6">
        <v>70</v>
      </c>
    </row>
    <row r="616" spans="1:9" x14ac:dyDescent="0.25">
      <c r="A616" t="s">
        <v>12</v>
      </c>
      <c r="B616" t="s">
        <v>26</v>
      </c>
      <c r="C616" t="s">
        <v>16</v>
      </c>
      <c r="D616" s="1">
        <v>44764</v>
      </c>
      <c r="E616" s="1" t="str">
        <f>TEXT(Sales[[#This Row],[Date]],"mmm")</f>
        <v>Jul</v>
      </c>
      <c r="F616" s="1" t="str">
        <f t="shared" si="18"/>
        <v>2022</v>
      </c>
      <c r="G616" s="1" t="str">
        <f t="shared" si="19"/>
        <v>Fri</v>
      </c>
      <c r="H616" s="7">
        <v>2583</v>
      </c>
      <c r="I616" s="6">
        <v>126</v>
      </c>
    </row>
    <row r="617" spans="1:9" x14ac:dyDescent="0.25">
      <c r="A617" t="s">
        <v>38</v>
      </c>
      <c r="B617" t="s">
        <v>21</v>
      </c>
      <c r="C617" t="s">
        <v>8</v>
      </c>
      <c r="D617" s="1">
        <v>44587</v>
      </c>
      <c r="E617" s="1" t="str">
        <f>TEXT(Sales[[#This Row],[Date]],"mmm")</f>
        <v>Jan</v>
      </c>
      <c r="F617" s="1" t="str">
        <f t="shared" si="18"/>
        <v>2022</v>
      </c>
      <c r="G617" s="1" t="str">
        <f t="shared" si="19"/>
        <v>Wed</v>
      </c>
      <c r="H617" s="7">
        <v>3220</v>
      </c>
      <c r="I617" s="6">
        <v>265</v>
      </c>
    </row>
    <row r="618" spans="1:9" x14ac:dyDescent="0.25">
      <c r="A618" t="s">
        <v>38</v>
      </c>
      <c r="B618" t="s">
        <v>26</v>
      </c>
      <c r="C618" t="s">
        <v>8</v>
      </c>
      <c r="D618" s="1">
        <v>44797</v>
      </c>
      <c r="E618" s="1" t="str">
        <f>TEXT(Sales[[#This Row],[Date]],"mmm")</f>
        <v>Aug</v>
      </c>
      <c r="F618" s="1" t="str">
        <f t="shared" si="18"/>
        <v>2022</v>
      </c>
      <c r="G618" s="1" t="str">
        <f t="shared" si="19"/>
        <v>Wed</v>
      </c>
      <c r="H618" s="7">
        <v>4802</v>
      </c>
      <c r="I618" s="6">
        <v>296</v>
      </c>
    </row>
    <row r="619" spans="1:9" x14ac:dyDescent="0.25">
      <c r="A619" t="s">
        <v>53</v>
      </c>
      <c r="B619" t="s">
        <v>21</v>
      </c>
      <c r="C619" t="s">
        <v>42</v>
      </c>
      <c r="D619" s="1">
        <v>44579</v>
      </c>
      <c r="E619" s="1" t="str">
        <f>TEXT(Sales[[#This Row],[Date]],"mmm")</f>
        <v>Jan</v>
      </c>
      <c r="F619" s="1" t="str">
        <f t="shared" si="18"/>
        <v>2022</v>
      </c>
      <c r="G619" s="1" t="str">
        <f t="shared" si="19"/>
        <v>Tue</v>
      </c>
      <c r="H619" s="7">
        <v>5677</v>
      </c>
      <c r="I619" s="6">
        <v>21</v>
      </c>
    </row>
    <row r="620" spans="1:9" x14ac:dyDescent="0.25">
      <c r="A620" t="s">
        <v>31</v>
      </c>
      <c r="B620" t="s">
        <v>10</v>
      </c>
      <c r="C620" t="s">
        <v>11</v>
      </c>
      <c r="D620" s="1">
        <v>44650</v>
      </c>
      <c r="E620" s="1" t="str">
        <f>TEXT(Sales[[#This Row],[Date]],"mmm")</f>
        <v>Mar</v>
      </c>
      <c r="F620" s="1" t="str">
        <f t="shared" si="18"/>
        <v>2022</v>
      </c>
      <c r="G620" s="1" t="str">
        <f t="shared" si="19"/>
        <v>Wed</v>
      </c>
      <c r="H620" s="7">
        <v>945</v>
      </c>
      <c r="I620" s="6">
        <v>83</v>
      </c>
    </row>
    <row r="621" spans="1:9" x14ac:dyDescent="0.25">
      <c r="A621" t="s">
        <v>55</v>
      </c>
      <c r="B621" t="s">
        <v>15</v>
      </c>
      <c r="C621" t="s">
        <v>57</v>
      </c>
      <c r="D621" s="1">
        <v>44578</v>
      </c>
      <c r="E621" s="1" t="str">
        <f>TEXT(Sales[[#This Row],[Date]],"mmm")</f>
        <v>Jan</v>
      </c>
      <c r="F621" s="1" t="str">
        <f t="shared" si="18"/>
        <v>2022</v>
      </c>
      <c r="G621" s="1" t="str">
        <f t="shared" si="19"/>
        <v>Mon</v>
      </c>
      <c r="H621" s="7">
        <v>8757</v>
      </c>
      <c r="I621" s="6">
        <v>162</v>
      </c>
    </row>
    <row r="622" spans="1:9" x14ac:dyDescent="0.25">
      <c r="A622" t="s">
        <v>49</v>
      </c>
      <c r="B622" t="s">
        <v>26</v>
      </c>
      <c r="C622" t="s">
        <v>42</v>
      </c>
      <c r="D622" s="1">
        <v>44609</v>
      </c>
      <c r="E622" s="1" t="str">
        <f>TEXT(Sales[[#This Row],[Date]],"mmm")</f>
        <v>Feb</v>
      </c>
      <c r="F622" s="1" t="str">
        <f t="shared" si="18"/>
        <v>2022</v>
      </c>
      <c r="G622" s="1" t="str">
        <f t="shared" si="19"/>
        <v>Thu</v>
      </c>
      <c r="H622" s="7">
        <v>4816</v>
      </c>
      <c r="I622" s="6">
        <v>145</v>
      </c>
    </row>
    <row r="623" spans="1:9" x14ac:dyDescent="0.25">
      <c r="A623" t="s">
        <v>49</v>
      </c>
      <c r="B623" t="s">
        <v>29</v>
      </c>
      <c r="C623" t="s">
        <v>13</v>
      </c>
      <c r="D623" s="1">
        <v>44659</v>
      </c>
      <c r="E623" s="1" t="str">
        <f>TEXT(Sales[[#This Row],[Date]],"mmm")</f>
        <v>Apr</v>
      </c>
      <c r="F623" s="1" t="str">
        <f t="shared" si="18"/>
        <v>2022</v>
      </c>
      <c r="G623" s="1" t="str">
        <f t="shared" si="19"/>
        <v>Fri</v>
      </c>
      <c r="H623" s="7">
        <v>7532</v>
      </c>
      <c r="I623" s="6">
        <v>44</v>
      </c>
    </row>
    <row r="624" spans="1:9" x14ac:dyDescent="0.25">
      <c r="A624" t="s">
        <v>12</v>
      </c>
      <c r="B624" t="s">
        <v>29</v>
      </c>
      <c r="C624" t="s">
        <v>32</v>
      </c>
      <c r="D624" s="1">
        <v>44748</v>
      </c>
      <c r="E624" s="1" t="str">
        <f>TEXT(Sales[[#This Row],[Date]],"mmm")</f>
        <v>Jul</v>
      </c>
      <c r="F624" s="1" t="str">
        <f t="shared" si="18"/>
        <v>2022</v>
      </c>
      <c r="G624" s="1" t="str">
        <f t="shared" si="19"/>
        <v>Wed</v>
      </c>
      <c r="H624" s="7">
        <v>3549</v>
      </c>
      <c r="I624" s="6">
        <v>82</v>
      </c>
    </row>
    <row r="625" spans="1:9" x14ac:dyDescent="0.25">
      <c r="A625" t="s">
        <v>40</v>
      </c>
      <c r="B625" t="s">
        <v>10</v>
      </c>
      <c r="C625" t="s">
        <v>42</v>
      </c>
      <c r="D625" s="1">
        <v>44655</v>
      </c>
      <c r="E625" s="1" t="str">
        <f>TEXT(Sales[[#This Row],[Date]],"mmm")</f>
        <v>Apr</v>
      </c>
      <c r="F625" s="1" t="str">
        <f t="shared" si="18"/>
        <v>2022</v>
      </c>
      <c r="G625" s="1" t="str">
        <f t="shared" si="19"/>
        <v>Mon</v>
      </c>
      <c r="H625" s="7">
        <v>4340</v>
      </c>
      <c r="I625" s="6">
        <v>226</v>
      </c>
    </row>
    <row r="626" spans="1:9" x14ac:dyDescent="0.25">
      <c r="A626" t="s">
        <v>14</v>
      </c>
      <c r="B626" t="s">
        <v>21</v>
      </c>
      <c r="C626" t="s">
        <v>35</v>
      </c>
      <c r="D626" s="1">
        <v>44622</v>
      </c>
      <c r="E626" s="1" t="str">
        <f>TEXT(Sales[[#This Row],[Date]],"mmm")</f>
        <v>Mar</v>
      </c>
      <c r="F626" s="1" t="str">
        <f t="shared" si="18"/>
        <v>2022</v>
      </c>
      <c r="G626" s="1" t="str">
        <f t="shared" si="19"/>
        <v>Wed</v>
      </c>
      <c r="H626" s="7">
        <v>1799</v>
      </c>
      <c r="I626" s="6">
        <v>207</v>
      </c>
    </row>
    <row r="627" spans="1:9" x14ac:dyDescent="0.25">
      <c r="A627" t="s">
        <v>12</v>
      </c>
      <c r="B627" t="s">
        <v>21</v>
      </c>
      <c r="C627" t="s">
        <v>51</v>
      </c>
      <c r="D627" s="1">
        <v>44782</v>
      </c>
      <c r="E627" s="1" t="str">
        <f>TEXT(Sales[[#This Row],[Date]],"mmm")</f>
        <v>Aug</v>
      </c>
      <c r="F627" s="1" t="str">
        <f t="shared" si="18"/>
        <v>2022</v>
      </c>
      <c r="G627" s="1" t="str">
        <f t="shared" si="19"/>
        <v>Tue</v>
      </c>
      <c r="H627" s="7">
        <v>1127</v>
      </c>
      <c r="I627" s="6">
        <v>176</v>
      </c>
    </row>
    <row r="628" spans="1:9" x14ac:dyDescent="0.25">
      <c r="A628" t="s">
        <v>43</v>
      </c>
      <c r="B628" t="s">
        <v>15</v>
      </c>
      <c r="C628" t="s">
        <v>37</v>
      </c>
      <c r="D628" s="1">
        <v>44721</v>
      </c>
      <c r="E628" s="1" t="str">
        <f>TEXT(Sales[[#This Row],[Date]],"mmm")</f>
        <v>Jun</v>
      </c>
      <c r="F628" s="1" t="str">
        <f t="shared" si="18"/>
        <v>2022</v>
      </c>
      <c r="G628" s="1" t="str">
        <f t="shared" si="19"/>
        <v>Thu</v>
      </c>
      <c r="H628" s="7">
        <v>10038</v>
      </c>
      <c r="I628" s="6">
        <v>286</v>
      </c>
    </row>
    <row r="629" spans="1:9" x14ac:dyDescent="0.25">
      <c r="A629" t="s">
        <v>55</v>
      </c>
      <c r="B629" t="s">
        <v>7</v>
      </c>
      <c r="C629" t="s">
        <v>57</v>
      </c>
      <c r="D629" s="1">
        <v>44714</v>
      </c>
      <c r="E629" s="1" t="str">
        <f>TEXT(Sales[[#This Row],[Date]],"mmm")</f>
        <v>Jun</v>
      </c>
      <c r="F629" s="1" t="str">
        <f t="shared" si="18"/>
        <v>2022</v>
      </c>
      <c r="G629" s="1" t="str">
        <f t="shared" si="19"/>
        <v>Thu</v>
      </c>
      <c r="H629" s="7">
        <v>2926</v>
      </c>
      <c r="I629" s="6">
        <v>300</v>
      </c>
    </row>
    <row r="630" spans="1:9" x14ac:dyDescent="0.25">
      <c r="A630" t="s">
        <v>9</v>
      </c>
      <c r="B630" t="s">
        <v>26</v>
      </c>
      <c r="C630" t="s">
        <v>42</v>
      </c>
      <c r="D630" s="1">
        <v>44747</v>
      </c>
      <c r="E630" s="1" t="str">
        <f>TEXT(Sales[[#This Row],[Date]],"mmm")</f>
        <v>Jul</v>
      </c>
      <c r="F630" s="1" t="str">
        <f t="shared" si="18"/>
        <v>2022</v>
      </c>
      <c r="G630" s="1" t="str">
        <f t="shared" si="19"/>
        <v>Tue</v>
      </c>
      <c r="H630" s="7">
        <v>6279</v>
      </c>
      <c r="I630" s="6">
        <v>235</v>
      </c>
    </row>
    <row r="631" spans="1:9" x14ac:dyDescent="0.25">
      <c r="A631" t="s">
        <v>48</v>
      </c>
      <c r="B631" t="s">
        <v>29</v>
      </c>
      <c r="C631" t="s">
        <v>30</v>
      </c>
      <c r="D631" s="1">
        <v>44784</v>
      </c>
      <c r="E631" s="1" t="str">
        <f>TEXT(Sales[[#This Row],[Date]],"mmm")</f>
        <v>Aug</v>
      </c>
      <c r="F631" s="1" t="str">
        <f t="shared" si="18"/>
        <v>2022</v>
      </c>
      <c r="G631" s="1" t="str">
        <f t="shared" si="19"/>
        <v>Thu</v>
      </c>
      <c r="H631" s="7">
        <v>308</v>
      </c>
      <c r="I631" s="6">
        <v>125</v>
      </c>
    </row>
    <row r="632" spans="1:9" x14ac:dyDescent="0.25">
      <c r="A632" t="s">
        <v>53</v>
      </c>
      <c r="B632" t="s">
        <v>10</v>
      </c>
      <c r="C632" t="s">
        <v>52</v>
      </c>
      <c r="D632" s="1">
        <v>44603</v>
      </c>
      <c r="E632" s="1" t="str">
        <f>TEXT(Sales[[#This Row],[Date]],"mmm")</f>
        <v>Feb</v>
      </c>
      <c r="F632" s="1" t="str">
        <f t="shared" si="18"/>
        <v>2022</v>
      </c>
      <c r="G632" s="1" t="str">
        <f t="shared" si="19"/>
        <v>Fri</v>
      </c>
      <c r="H632" s="7">
        <v>3500</v>
      </c>
      <c r="I632" s="6">
        <v>145</v>
      </c>
    </row>
    <row r="633" spans="1:9" x14ac:dyDescent="0.25">
      <c r="A633" t="s">
        <v>49</v>
      </c>
      <c r="B633" t="s">
        <v>21</v>
      </c>
      <c r="C633" t="s">
        <v>39</v>
      </c>
      <c r="D633" s="1">
        <v>44784</v>
      </c>
      <c r="E633" s="1" t="str">
        <f>TEXT(Sales[[#This Row],[Date]],"mmm")</f>
        <v>Aug</v>
      </c>
      <c r="F633" s="1" t="str">
        <f t="shared" si="18"/>
        <v>2022</v>
      </c>
      <c r="G633" s="1" t="str">
        <f t="shared" si="19"/>
        <v>Thu</v>
      </c>
      <c r="H633" s="7">
        <v>658</v>
      </c>
      <c r="I633" s="6">
        <v>65</v>
      </c>
    </row>
    <row r="634" spans="1:9" x14ac:dyDescent="0.25">
      <c r="A634" t="s">
        <v>36</v>
      </c>
      <c r="B634" t="s">
        <v>15</v>
      </c>
      <c r="C634" t="s">
        <v>32</v>
      </c>
      <c r="D634" s="1">
        <v>44693</v>
      </c>
      <c r="E634" s="1" t="str">
        <f>TEXT(Sales[[#This Row],[Date]],"mmm")</f>
        <v>May</v>
      </c>
      <c r="F634" s="1" t="str">
        <f t="shared" si="18"/>
        <v>2022</v>
      </c>
      <c r="G634" s="1" t="str">
        <f t="shared" si="19"/>
        <v>Thu</v>
      </c>
      <c r="H634" s="7">
        <v>12565</v>
      </c>
      <c r="I634" s="6">
        <v>102</v>
      </c>
    </row>
    <row r="635" spans="1:9" x14ac:dyDescent="0.25">
      <c r="A635" t="s">
        <v>46</v>
      </c>
      <c r="B635" t="s">
        <v>26</v>
      </c>
      <c r="C635" t="s">
        <v>37</v>
      </c>
      <c r="D635" s="1">
        <v>44757</v>
      </c>
      <c r="E635" s="1" t="str">
        <f>TEXT(Sales[[#This Row],[Date]],"mmm")</f>
        <v>Jul</v>
      </c>
      <c r="F635" s="1" t="str">
        <f t="shared" si="18"/>
        <v>2022</v>
      </c>
      <c r="G635" s="1" t="str">
        <f t="shared" si="19"/>
        <v>Fri</v>
      </c>
      <c r="H635" s="7">
        <v>5012</v>
      </c>
      <c r="I635" s="6">
        <v>93</v>
      </c>
    </row>
    <row r="636" spans="1:9" x14ac:dyDescent="0.25">
      <c r="A636" t="s">
        <v>48</v>
      </c>
      <c r="B636" t="s">
        <v>10</v>
      </c>
      <c r="C636" t="s">
        <v>35</v>
      </c>
      <c r="D636" s="1">
        <v>44579</v>
      </c>
      <c r="E636" s="1" t="str">
        <f>TEXT(Sales[[#This Row],[Date]],"mmm")</f>
        <v>Jan</v>
      </c>
      <c r="F636" s="1" t="str">
        <f t="shared" si="18"/>
        <v>2022</v>
      </c>
      <c r="G636" s="1" t="str">
        <f t="shared" si="19"/>
        <v>Tue</v>
      </c>
      <c r="H636" s="7">
        <v>3955</v>
      </c>
      <c r="I636" s="6">
        <v>134</v>
      </c>
    </row>
    <row r="637" spans="1:9" x14ac:dyDescent="0.25">
      <c r="A637" t="s">
        <v>53</v>
      </c>
      <c r="B637" t="s">
        <v>7</v>
      </c>
      <c r="C637" t="s">
        <v>42</v>
      </c>
      <c r="D637" s="1">
        <v>44566</v>
      </c>
      <c r="E637" s="1" t="str">
        <f>TEXT(Sales[[#This Row],[Date]],"mmm")</f>
        <v>Jan</v>
      </c>
      <c r="F637" s="1" t="str">
        <f t="shared" si="18"/>
        <v>2022</v>
      </c>
      <c r="G637" s="1" t="str">
        <f t="shared" si="19"/>
        <v>Wed</v>
      </c>
      <c r="H637" s="7">
        <v>8512</v>
      </c>
      <c r="I637" s="6">
        <v>189</v>
      </c>
    </row>
    <row r="638" spans="1:9" x14ac:dyDescent="0.25">
      <c r="A638" t="s">
        <v>38</v>
      </c>
      <c r="B638" t="s">
        <v>15</v>
      </c>
      <c r="C638" t="s">
        <v>22</v>
      </c>
      <c r="D638" s="1">
        <v>44741</v>
      </c>
      <c r="E638" s="1" t="str">
        <f>TEXT(Sales[[#This Row],[Date]],"mmm")</f>
        <v>Jun</v>
      </c>
      <c r="F638" s="1" t="str">
        <f t="shared" si="18"/>
        <v>2022</v>
      </c>
      <c r="G638" s="1" t="str">
        <f t="shared" si="19"/>
        <v>Wed</v>
      </c>
      <c r="H638" s="7">
        <v>504</v>
      </c>
      <c r="I638" s="6">
        <v>232</v>
      </c>
    </row>
    <row r="639" spans="1:9" x14ac:dyDescent="0.25">
      <c r="A639" t="s">
        <v>23</v>
      </c>
      <c r="B639" t="s">
        <v>29</v>
      </c>
      <c r="C639" t="s">
        <v>51</v>
      </c>
      <c r="D639" s="1">
        <v>44726</v>
      </c>
      <c r="E639" s="1" t="str">
        <f>TEXT(Sales[[#This Row],[Date]],"mmm")</f>
        <v>Jun</v>
      </c>
      <c r="F639" s="1" t="str">
        <f t="shared" si="18"/>
        <v>2022</v>
      </c>
      <c r="G639" s="1" t="str">
        <f t="shared" si="19"/>
        <v>Tue</v>
      </c>
      <c r="H639" s="7">
        <v>2800</v>
      </c>
      <c r="I639" s="6">
        <v>45</v>
      </c>
    </row>
    <row r="640" spans="1:9" x14ac:dyDescent="0.25">
      <c r="A640" t="s">
        <v>19</v>
      </c>
      <c r="B640" t="s">
        <v>10</v>
      </c>
      <c r="C640" t="s">
        <v>8</v>
      </c>
      <c r="D640" s="1">
        <v>44781</v>
      </c>
      <c r="E640" s="1" t="str">
        <f>TEXT(Sales[[#This Row],[Date]],"mmm")</f>
        <v>Aug</v>
      </c>
      <c r="F640" s="1" t="str">
        <f t="shared" si="18"/>
        <v>2022</v>
      </c>
      <c r="G640" s="1" t="str">
        <f t="shared" si="19"/>
        <v>Mon</v>
      </c>
      <c r="H640" s="7">
        <v>4256</v>
      </c>
      <c r="I640" s="6">
        <v>67</v>
      </c>
    </row>
    <row r="641" spans="1:9" x14ac:dyDescent="0.25">
      <c r="A641" t="s">
        <v>43</v>
      </c>
      <c r="B641" t="s">
        <v>10</v>
      </c>
      <c r="C641" t="s">
        <v>8</v>
      </c>
      <c r="D641" s="1">
        <v>44643</v>
      </c>
      <c r="E641" s="1" t="str">
        <f>TEXT(Sales[[#This Row],[Date]],"mmm")</f>
        <v>Mar</v>
      </c>
      <c r="F641" s="1" t="str">
        <f t="shared" si="18"/>
        <v>2022</v>
      </c>
      <c r="G641" s="1" t="str">
        <f t="shared" si="19"/>
        <v>Wed</v>
      </c>
      <c r="H641" s="7">
        <v>13573</v>
      </c>
      <c r="I641" s="6">
        <v>138</v>
      </c>
    </row>
    <row r="642" spans="1:9" x14ac:dyDescent="0.25">
      <c r="A642" t="s">
        <v>25</v>
      </c>
      <c r="B642" t="s">
        <v>10</v>
      </c>
      <c r="C642" t="s">
        <v>57</v>
      </c>
      <c r="D642" s="1">
        <v>44565</v>
      </c>
      <c r="E642" s="1" t="str">
        <f>TEXT(Sales[[#This Row],[Date]],"mmm")</f>
        <v>Jan</v>
      </c>
      <c r="F642" s="1" t="str">
        <f t="shared" ref="F642:F705" si="20">TEXT(D:D,"yyyy")</f>
        <v>2022</v>
      </c>
      <c r="G642" s="1" t="str">
        <f t="shared" ref="G642:G705" si="21">TEXT(D:D,"ddd")</f>
        <v>Tue</v>
      </c>
      <c r="H642" s="7">
        <v>6566</v>
      </c>
      <c r="I642" s="6">
        <v>99</v>
      </c>
    </row>
    <row r="643" spans="1:9" x14ac:dyDescent="0.25">
      <c r="A643" t="s">
        <v>23</v>
      </c>
      <c r="B643" t="s">
        <v>10</v>
      </c>
      <c r="C643" t="s">
        <v>37</v>
      </c>
      <c r="D643" s="1">
        <v>44614</v>
      </c>
      <c r="E643" s="1" t="str">
        <f>TEXT(Sales[[#This Row],[Date]],"mmm")</f>
        <v>Feb</v>
      </c>
      <c r="F643" s="1" t="str">
        <f t="shared" si="20"/>
        <v>2022</v>
      </c>
      <c r="G643" s="1" t="str">
        <f t="shared" si="21"/>
        <v>Tue</v>
      </c>
      <c r="H643" s="7">
        <v>13503</v>
      </c>
      <c r="I643" s="6">
        <v>251</v>
      </c>
    </row>
    <row r="644" spans="1:9" x14ac:dyDescent="0.25">
      <c r="A644" t="s">
        <v>34</v>
      </c>
      <c r="B644" t="s">
        <v>7</v>
      </c>
      <c r="C644" t="s">
        <v>39</v>
      </c>
      <c r="D644" s="1">
        <v>44609</v>
      </c>
      <c r="E644" s="1" t="str">
        <f>TEXT(Sales[[#This Row],[Date]],"mmm")</f>
        <v>Feb</v>
      </c>
      <c r="F644" s="1" t="str">
        <f t="shared" si="20"/>
        <v>2022</v>
      </c>
      <c r="G644" s="1" t="str">
        <f t="shared" si="21"/>
        <v>Thu</v>
      </c>
      <c r="H644" s="7">
        <v>8680</v>
      </c>
      <c r="I644" s="6">
        <v>252</v>
      </c>
    </row>
    <row r="645" spans="1:9" x14ac:dyDescent="0.25">
      <c r="A645" t="s">
        <v>25</v>
      </c>
      <c r="B645" t="s">
        <v>26</v>
      </c>
      <c r="C645" t="s">
        <v>47</v>
      </c>
      <c r="D645" s="1">
        <v>44595</v>
      </c>
      <c r="E645" s="1" t="str">
        <f>TEXT(Sales[[#This Row],[Date]],"mmm")</f>
        <v>Feb</v>
      </c>
      <c r="F645" s="1" t="str">
        <f t="shared" si="20"/>
        <v>2022</v>
      </c>
      <c r="G645" s="1" t="str">
        <f t="shared" si="21"/>
        <v>Thu</v>
      </c>
      <c r="H645" s="7">
        <v>385</v>
      </c>
      <c r="I645" s="6">
        <v>78</v>
      </c>
    </row>
    <row r="646" spans="1:9" x14ac:dyDescent="0.25">
      <c r="A646" t="s">
        <v>9</v>
      </c>
      <c r="B646" t="s">
        <v>29</v>
      </c>
      <c r="C646" t="s">
        <v>51</v>
      </c>
      <c r="D646" s="1">
        <v>44637</v>
      </c>
      <c r="E646" s="1" t="str">
        <f>TEXT(Sales[[#This Row],[Date]],"mmm")</f>
        <v>Mar</v>
      </c>
      <c r="F646" s="1" t="str">
        <f t="shared" si="20"/>
        <v>2022</v>
      </c>
      <c r="G646" s="1" t="str">
        <f t="shared" si="21"/>
        <v>Thu</v>
      </c>
      <c r="H646" s="7">
        <v>1267</v>
      </c>
      <c r="I646" s="6">
        <v>130</v>
      </c>
    </row>
    <row r="647" spans="1:9" x14ac:dyDescent="0.25">
      <c r="A647" t="s">
        <v>46</v>
      </c>
      <c r="B647" t="s">
        <v>15</v>
      </c>
      <c r="C647" t="s">
        <v>56</v>
      </c>
      <c r="D647" s="1">
        <v>44586</v>
      </c>
      <c r="E647" s="1" t="str">
        <f>TEXT(Sales[[#This Row],[Date]],"mmm")</f>
        <v>Jan</v>
      </c>
      <c r="F647" s="1" t="str">
        <f t="shared" si="20"/>
        <v>2022</v>
      </c>
      <c r="G647" s="1" t="str">
        <f t="shared" si="21"/>
        <v>Tue</v>
      </c>
      <c r="H647" s="7">
        <v>2961</v>
      </c>
      <c r="I647" s="6">
        <v>154</v>
      </c>
    </row>
    <row r="648" spans="1:9" x14ac:dyDescent="0.25">
      <c r="A648" t="s">
        <v>23</v>
      </c>
      <c r="B648" t="s">
        <v>15</v>
      </c>
      <c r="C648" t="s">
        <v>37</v>
      </c>
      <c r="D648" s="1">
        <v>44769</v>
      </c>
      <c r="E648" s="1" t="str">
        <f>TEXT(Sales[[#This Row],[Date]],"mmm")</f>
        <v>Jul</v>
      </c>
      <c r="F648" s="1" t="str">
        <f t="shared" si="20"/>
        <v>2022</v>
      </c>
      <c r="G648" s="1" t="str">
        <f t="shared" si="21"/>
        <v>Wed</v>
      </c>
      <c r="H648" s="7">
        <v>1981</v>
      </c>
      <c r="I648" s="6">
        <v>52</v>
      </c>
    </row>
    <row r="649" spans="1:9" x14ac:dyDescent="0.25">
      <c r="A649" t="s">
        <v>40</v>
      </c>
      <c r="B649" t="s">
        <v>15</v>
      </c>
      <c r="C649" t="s">
        <v>42</v>
      </c>
      <c r="D649" s="1">
        <v>44589</v>
      </c>
      <c r="E649" s="1" t="str">
        <f>TEXT(Sales[[#This Row],[Date]],"mmm")</f>
        <v>Jan</v>
      </c>
      <c r="F649" s="1" t="str">
        <f t="shared" si="20"/>
        <v>2022</v>
      </c>
      <c r="G649" s="1" t="str">
        <f t="shared" si="21"/>
        <v>Fri</v>
      </c>
      <c r="H649" s="7">
        <v>7959</v>
      </c>
      <c r="I649" s="6">
        <v>53</v>
      </c>
    </row>
    <row r="650" spans="1:9" x14ac:dyDescent="0.25">
      <c r="A650" t="s">
        <v>53</v>
      </c>
      <c r="B650" t="s">
        <v>15</v>
      </c>
      <c r="C650" t="s">
        <v>35</v>
      </c>
      <c r="D650" s="1">
        <v>44747</v>
      </c>
      <c r="E650" s="1" t="str">
        <f>TEXT(Sales[[#This Row],[Date]],"mmm")</f>
        <v>Jul</v>
      </c>
      <c r="F650" s="1" t="str">
        <f t="shared" si="20"/>
        <v>2022</v>
      </c>
      <c r="G650" s="1" t="str">
        <f t="shared" si="21"/>
        <v>Tue</v>
      </c>
      <c r="H650" s="7">
        <v>10794</v>
      </c>
      <c r="I650" s="6">
        <v>50</v>
      </c>
    </row>
    <row r="651" spans="1:9" x14ac:dyDescent="0.25">
      <c r="A651" t="s">
        <v>9</v>
      </c>
      <c r="B651" t="s">
        <v>10</v>
      </c>
      <c r="C651" t="s">
        <v>44</v>
      </c>
      <c r="D651" s="1">
        <v>44635</v>
      </c>
      <c r="E651" s="1" t="str">
        <f>TEXT(Sales[[#This Row],[Date]],"mmm")</f>
        <v>Mar</v>
      </c>
      <c r="F651" s="1" t="str">
        <f t="shared" si="20"/>
        <v>2022</v>
      </c>
      <c r="G651" s="1" t="str">
        <f t="shared" si="21"/>
        <v>Tue</v>
      </c>
      <c r="H651" s="7">
        <v>1897</v>
      </c>
      <c r="I651" s="6">
        <v>44</v>
      </c>
    </row>
    <row r="652" spans="1:9" x14ac:dyDescent="0.25">
      <c r="A652" t="s">
        <v>19</v>
      </c>
      <c r="B652" t="s">
        <v>29</v>
      </c>
      <c r="C652" t="s">
        <v>20</v>
      </c>
      <c r="D652" s="1">
        <v>44777</v>
      </c>
      <c r="E652" s="1" t="str">
        <f>TEXT(Sales[[#This Row],[Date]],"mmm")</f>
        <v>Aug</v>
      </c>
      <c r="F652" s="1" t="str">
        <f t="shared" si="20"/>
        <v>2022</v>
      </c>
      <c r="G652" s="1" t="str">
        <f t="shared" si="21"/>
        <v>Thu</v>
      </c>
      <c r="H652" s="7">
        <v>2744</v>
      </c>
      <c r="I652" s="6">
        <v>200</v>
      </c>
    </row>
    <row r="653" spans="1:9" x14ac:dyDescent="0.25">
      <c r="A653" t="s">
        <v>14</v>
      </c>
      <c r="B653" t="s">
        <v>26</v>
      </c>
      <c r="C653" t="s">
        <v>42</v>
      </c>
      <c r="D653" s="1">
        <v>44739</v>
      </c>
      <c r="E653" s="1" t="str">
        <f>TEXT(Sales[[#This Row],[Date]],"mmm")</f>
        <v>Jun</v>
      </c>
      <c r="F653" s="1" t="str">
        <f t="shared" si="20"/>
        <v>2022</v>
      </c>
      <c r="G653" s="1" t="str">
        <f t="shared" si="21"/>
        <v>Mon</v>
      </c>
      <c r="H653" s="7">
        <v>4382</v>
      </c>
      <c r="I653" s="6">
        <v>361</v>
      </c>
    </row>
    <row r="654" spans="1:9" x14ac:dyDescent="0.25">
      <c r="A654" t="s">
        <v>14</v>
      </c>
      <c r="B654" t="s">
        <v>29</v>
      </c>
      <c r="C654" t="s">
        <v>20</v>
      </c>
      <c r="D654" s="1">
        <v>44755</v>
      </c>
      <c r="E654" s="1" t="str">
        <f>TEXT(Sales[[#This Row],[Date]],"mmm")</f>
        <v>Jul</v>
      </c>
      <c r="F654" s="1" t="str">
        <f t="shared" si="20"/>
        <v>2022</v>
      </c>
      <c r="G654" s="1" t="str">
        <f t="shared" si="21"/>
        <v>Wed</v>
      </c>
      <c r="H654" s="7">
        <v>4515</v>
      </c>
      <c r="I654" s="6">
        <v>172</v>
      </c>
    </row>
    <row r="655" spans="1:9" x14ac:dyDescent="0.25">
      <c r="A655" t="s">
        <v>25</v>
      </c>
      <c r="B655" t="s">
        <v>21</v>
      </c>
      <c r="C655" t="s">
        <v>45</v>
      </c>
      <c r="D655" s="1">
        <v>44616</v>
      </c>
      <c r="E655" s="1" t="str">
        <f>TEXT(Sales[[#This Row],[Date]],"mmm")</f>
        <v>Feb</v>
      </c>
      <c r="F655" s="1" t="str">
        <f t="shared" si="20"/>
        <v>2022</v>
      </c>
      <c r="G655" s="1" t="str">
        <f t="shared" si="21"/>
        <v>Thu</v>
      </c>
      <c r="H655" s="7">
        <v>5474</v>
      </c>
      <c r="I655" s="6">
        <v>239</v>
      </c>
    </row>
    <row r="656" spans="1:9" x14ac:dyDescent="0.25">
      <c r="A656" t="s">
        <v>31</v>
      </c>
      <c r="B656" t="s">
        <v>21</v>
      </c>
      <c r="C656" t="s">
        <v>11</v>
      </c>
      <c r="D656" s="1">
        <v>44740</v>
      </c>
      <c r="E656" s="1" t="str">
        <f>TEXT(Sales[[#This Row],[Date]],"mmm")</f>
        <v>Jun</v>
      </c>
      <c r="F656" s="1" t="str">
        <f t="shared" si="20"/>
        <v>2022</v>
      </c>
      <c r="G656" s="1" t="str">
        <f t="shared" si="21"/>
        <v>Tue</v>
      </c>
      <c r="H656" s="7">
        <v>6069</v>
      </c>
      <c r="I656" s="6">
        <v>55</v>
      </c>
    </row>
    <row r="657" spans="1:9" x14ac:dyDescent="0.25">
      <c r="A657" t="s">
        <v>17</v>
      </c>
      <c r="B657" t="s">
        <v>15</v>
      </c>
      <c r="C657" t="s">
        <v>11</v>
      </c>
      <c r="D657" s="1">
        <v>44742</v>
      </c>
      <c r="E657" s="1" t="str">
        <f>TEXT(Sales[[#This Row],[Date]],"mmm")</f>
        <v>Jun</v>
      </c>
      <c r="F657" s="1" t="str">
        <f t="shared" si="20"/>
        <v>2022</v>
      </c>
      <c r="G657" s="1" t="str">
        <f t="shared" si="21"/>
        <v>Thu</v>
      </c>
      <c r="H657" s="7">
        <v>6944</v>
      </c>
      <c r="I657" s="6">
        <v>27</v>
      </c>
    </row>
    <row r="658" spans="1:9" x14ac:dyDescent="0.25">
      <c r="A658" t="s">
        <v>38</v>
      </c>
      <c r="B658" t="s">
        <v>29</v>
      </c>
      <c r="C658" t="s">
        <v>52</v>
      </c>
      <c r="D658" s="1">
        <v>44791</v>
      </c>
      <c r="E658" s="1" t="str">
        <f>TEXT(Sales[[#This Row],[Date]],"mmm")</f>
        <v>Aug</v>
      </c>
      <c r="F658" s="1" t="str">
        <f t="shared" si="20"/>
        <v>2022</v>
      </c>
      <c r="G658" s="1" t="str">
        <f t="shared" si="21"/>
        <v>Thu</v>
      </c>
      <c r="H658" s="7">
        <v>5859</v>
      </c>
      <c r="I658" s="6">
        <v>7</v>
      </c>
    </row>
    <row r="659" spans="1:9" x14ac:dyDescent="0.25">
      <c r="A659" t="s">
        <v>41</v>
      </c>
      <c r="B659" t="s">
        <v>10</v>
      </c>
      <c r="C659" t="s">
        <v>58</v>
      </c>
      <c r="D659" s="1">
        <v>44585</v>
      </c>
      <c r="E659" s="1" t="str">
        <f>TEXT(Sales[[#This Row],[Date]],"mmm")</f>
        <v>Jan</v>
      </c>
      <c r="F659" s="1" t="str">
        <f t="shared" si="20"/>
        <v>2022</v>
      </c>
      <c r="G659" s="1" t="str">
        <f t="shared" si="21"/>
        <v>Mon</v>
      </c>
      <c r="H659" s="7">
        <v>12173</v>
      </c>
      <c r="I659" s="6">
        <v>301</v>
      </c>
    </row>
    <row r="660" spans="1:9" x14ac:dyDescent="0.25">
      <c r="A660" t="s">
        <v>34</v>
      </c>
      <c r="B660" t="s">
        <v>26</v>
      </c>
      <c r="C660" t="s">
        <v>44</v>
      </c>
      <c r="D660" s="1">
        <v>44631</v>
      </c>
      <c r="E660" s="1" t="str">
        <f>TEXT(Sales[[#This Row],[Date]],"mmm")</f>
        <v>Mar</v>
      </c>
      <c r="F660" s="1" t="str">
        <f t="shared" si="20"/>
        <v>2022</v>
      </c>
      <c r="G660" s="1" t="str">
        <f t="shared" si="21"/>
        <v>Fri</v>
      </c>
      <c r="H660" s="7">
        <v>5292</v>
      </c>
      <c r="I660" s="6">
        <v>134</v>
      </c>
    </row>
    <row r="661" spans="1:9" x14ac:dyDescent="0.25">
      <c r="A661" t="s">
        <v>55</v>
      </c>
      <c r="B661" t="s">
        <v>21</v>
      </c>
      <c r="C661" t="s">
        <v>20</v>
      </c>
      <c r="D661" s="1">
        <v>44735</v>
      </c>
      <c r="E661" s="1" t="str">
        <f>TEXT(Sales[[#This Row],[Date]],"mmm")</f>
        <v>Jun</v>
      </c>
      <c r="F661" s="1" t="str">
        <f t="shared" si="20"/>
        <v>2022</v>
      </c>
      <c r="G661" s="1" t="str">
        <f t="shared" si="21"/>
        <v>Thu</v>
      </c>
      <c r="H661" s="7">
        <v>5705</v>
      </c>
      <c r="I661" s="6">
        <v>350</v>
      </c>
    </row>
    <row r="662" spans="1:9" x14ac:dyDescent="0.25">
      <c r="A662" t="s">
        <v>40</v>
      </c>
      <c r="B662" t="s">
        <v>10</v>
      </c>
      <c r="C662" t="s">
        <v>39</v>
      </c>
      <c r="D662" s="1">
        <v>44795</v>
      </c>
      <c r="E662" s="1" t="str">
        <f>TEXT(Sales[[#This Row],[Date]],"mmm")</f>
        <v>Aug</v>
      </c>
      <c r="F662" s="1" t="str">
        <f t="shared" si="20"/>
        <v>2022</v>
      </c>
      <c r="G662" s="1" t="str">
        <f t="shared" si="21"/>
        <v>Mon</v>
      </c>
      <c r="H662" s="7">
        <v>2492</v>
      </c>
      <c r="I662" s="6">
        <v>33</v>
      </c>
    </row>
    <row r="663" spans="1:9" x14ac:dyDescent="0.25">
      <c r="A663" t="s">
        <v>19</v>
      </c>
      <c r="B663" t="s">
        <v>29</v>
      </c>
      <c r="C663" t="s">
        <v>22</v>
      </c>
      <c r="D663" s="1">
        <v>44565</v>
      </c>
      <c r="E663" s="1" t="str">
        <f>TEXT(Sales[[#This Row],[Date]],"mmm")</f>
        <v>Jan</v>
      </c>
      <c r="F663" s="1" t="str">
        <f t="shared" si="20"/>
        <v>2022</v>
      </c>
      <c r="G663" s="1" t="str">
        <f t="shared" si="21"/>
        <v>Tue</v>
      </c>
      <c r="H663" s="7">
        <v>3024</v>
      </c>
      <c r="I663" s="6">
        <v>23</v>
      </c>
    </row>
    <row r="664" spans="1:9" x14ac:dyDescent="0.25">
      <c r="A664" t="s">
        <v>38</v>
      </c>
      <c r="B664" t="s">
        <v>10</v>
      </c>
      <c r="C664" t="s">
        <v>37</v>
      </c>
      <c r="D664" s="1">
        <v>44656</v>
      </c>
      <c r="E664" s="1" t="str">
        <f>TEXT(Sales[[#This Row],[Date]],"mmm")</f>
        <v>Apr</v>
      </c>
      <c r="F664" s="1" t="str">
        <f t="shared" si="20"/>
        <v>2022</v>
      </c>
      <c r="G664" s="1" t="str">
        <f t="shared" si="21"/>
        <v>Tue</v>
      </c>
      <c r="H664" s="7">
        <v>3437</v>
      </c>
      <c r="I664" s="6">
        <v>201</v>
      </c>
    </row>
    <row r="665" spans="1:9" x14ac:dyDescent="0.25">
      <c r="A665" t="s">
        <v>34</v>
      </c>
      <c r="B665" t="s">
        <v>10</v>
      </c>
      <c r="C665" t="s">
        <v>37</v>
      </c>
      <c r="D665" s="1">
        <v>44666</v>
      </c>
      <c r="E665" s="1" t="str">
        <f>TEXT(Sales[[#This Row],[Date]],"mmm")</f>
        <v>Apr</v>
      </c>
      <c r="F665" s="1" t="str">
        <f t="shared" si="20"/>
        <v>2022</v>
      </c>
      <c r="G665" s="1" t="str">
        <f t="shared" si="21"/>
        <v>Fri</v>
      </c>
      <c r="H665" s="7">
        <v>1869</v>
      </c>
      <c r="I665" s="6">
        <v>323</v>
      </c>
    </row>
    <row r="666" spans="1:9" x14ac:dyDescent="0.25">
      <c r="A666" t="s">
        <v>40</v>
      </c>
      <c r="B666" t="s">
        <v>15</v>
      </c>
      <c r="C666" t="s">
        <v>44</v>
      </c>
      <c r="D666" s="1">
        <v>44692</v>
      </c>
      <c r="E666" s="1" t="str">
        <f>TEXT(Sales[[#This Row],[Date]],"mmm")</f>
        <v>May</v>
      </c>
      <c r="F666" s="1" t="str">
        <f t="shared" si="20"/>
        <v>2022</v>
      </c>
      <c r="G666" s="1" t="str">
        <f t="shared" si="21"/>
        <v>Wed</v>
      </c>
      <c r="H666" s="7">
        <v>3171</v>
      </c>
      <c r="I666" s="6">
        <v>220</v>
      </c>
    </row>
    <row r="667" spans="1:9" x14ac:dyDescent="0.25">
      <c r="A667" t="s">
        <v>48</v>
      </c>
      <c r="B667" t="s">
        <v>29</v>
      </c>
      <c r="C667" t="s">
        <v>45</v>
      </c>
      <c r="D667" s="1">
        <v>44763</v>
      </c>
      <c r="E667" s="1" t="str">
        <f>TEXT(Sales[[#This Row],[Date]],"mmm")</f>
        <v>Jul</v>
      </c>
      <c r="F667" s="1" t="str">
        <f t="shared" si="20"/>
        <v>2022</v>
      </c>
      <c r="G667" s="1" t="str">
        <f t="shared" si="21"/>
        <v>Thu</v>
      </c>
      <c r="H667" s="7">
        <v>4858</v>
      </c>
      <c r="I667" s="6">
        <v>488</v>
      </c>
    </row>
    <row r="668" spans="1:9" x14ac:dyDescent="0.25">
      <c r="A668" t="s">
        <v>14</v>
      </c>
      <c r="B668" t="s">
        <v>21</v>
      </c>
      <c r="C668" t="s">
        <v>27</v>
      </c>
      <c r="D668" s="1">
        <v>44603</v>
      </c>
      <c r="E668" s="1" t="str">
        <f>TEXT(Sales[[#This Row],[Date]],"mmm")</f>
        <v>Feb</v>
      </c>
      <c r="F668" s="1" t="str">
        <f t="shared" si="20"/>
        <v>2022</v>
      </c>
      <c r="G668" s="1" t="str">
        <f t="shared" si="21"/>
        <v>Fri</v>
      </c>
      <c r="H668" s="7">
        <v>1225</v>
      </c>
      <c r="I668" s="6">
        <v>84</v>
      </c>
    </row>
    <row r="669" spans="1:9" x14ac:dyDescent="0.25">
      <c r="A669" t="s">
        <v>48</v>
      </c>
      <c r="B669" t="s">
        <v>29</v>
      </c>
      <c r="C669" t="s">
        <v>16</v>
      </c>
      <c r="D669" s="1">
        <v>44750</v>
      </c>
      <c r="E669" s="1" t="str">
        <f>TEXT(Sales[[#This Row],[Date]],"mmm")</f>
        <v>Jul</v>
      </c>
      <c r="F669" s="1" t="str">
        <f t="shared" si="20"/>
        <v>2022</v>
      </c>
      <c r="G669" s="1" t="str">
        <f t="shared" si="21"/>
        <v>Fri</v>
      </c>
      <c r="H669" s="7">
        <v>1155</v>
      </c>
      <c r="I669" s="6">
        <v>79</v>
      </c>
    </row>
    <row r="670" spans="1:9" x14ac:dyDescent="0.25">
      <c r="A670" t="s">
        <v>19</v>
      </c>
      <c r="B670" t="s">
        <v>7</v>
      </c>
      <c r="C670" t="s">
        <v>51</v>
      </c>
      <c r="D670" s="1">
        <v>44784</v>
      </c>
      <c r="E670" s="1" t="str">
        <f>TEXT(Sales[[#This Row],[Date]],"mmm")</f>
        <v>Aug</v>
      </c>
      <c r="F670" s="1" t="str">
        <f t="shared" si="20"/>
        <v>2022</v>
      </c>
      <c r="G670" s="1" t="str">
        <f t="shared" si="21"/>
        <v>Thu</v>
      </c>
      <c r="H670" s="7">
        <v>6811</v>
      </c>
      <c r="I670" s="6">
        <v>344</v>
      </c>
    </row>
    <row r="671" spans="1:9" x14ac:dyDescent="0.25">
      <c r="A671" t="s">
        <v>40</v>
      </c>
      <c r="B671" t="s">
        <v>21</v>
      </c>
      <c r="C671" t="s">
        <v>20</v>
      </c>
      <c r="D671" s="1">
        <v>44777</v>
      </c>
      <c r="E671" s="1" t="str">
        <f>TEXT(Sales[[#This Row],[Date]],"mmm")</f>
        <v>Aug</v>
      </c>
      <c r="F671" s="1" t="str">
        <f t="shared" si="20"/>
        <v>2022</v>
      </c>
      <c r="G671" s="1" t="str">
        <f t="shared" si="21"/>
        <v>Thu</v>
      </c>
      <c r="H671" s="7">
        <v>6433</v>
      </c>
      <c r="I671" s="6">
        <v>7</v>
      </c>
    </row>
    <row r="672" spans="1:9" x14ac:dyDescent="0.25">
      <c r="A672" t="s">
        <v>48</v>
      </c>
      <c r="B672" t="s">
        <v>21</v>
      </c>
      <c r="C672" t="s">
        <v>27</v>
      </c>
      <c r="D672" s="1">
        <v>44726</v>
      </c>
      <c r="E672" s="1" t="str">
        <f>TEXT(Sales[[#This Row],[Date]],"mmm")</f>
        <v>Jun</v>
      </c>
      <c r="F672" s="1" t="str">
        <f t="shared" si="20"/>
        <v>2022</v>
      </c>
      <c r="G672" s="1" t="str">
        <f t="shared" si="21"/>
        <v>Tue</v>
      </c>
      <c r="H672" s="7">
        <v>8169</v>
      </c>
      <c r="I672" s="6">
        <v>88</v>
      </c>
    </row>
    <row r="673" spans="1:9" x14ac:dyDescent="0.25">
      <c r="A673" t="s">
        <v>43</v>
      </c>
      <c r="B673" t="s">
        <v>7</v>
      </c>
      <c r="C673" t="s">
        <v>56</v>
      </c>
      <c r="D673" s="1">
        <v>44578</v>
      </c>
      <c r="E673" s="1" t="str">
        <f>TEXT(Sales[[#This Row],[Date]],"mmm")</f>
        <v>Jan</v>
      </c>
      <c r="F673" s="1" t="str">
        <f t="shared" si="20"/>
        <v>2022</v>
      </c>
      <c r="G673" s="1" t="str">
        <f t="shared" si="21"/>
        <v>Mon</v>
      </c>
      <c r="H673" s="7">
        <v>2275</v>
      </c>
      <c r="I673" s="6">
        <v>275</v>
      </c>
    </row>
    <row r="674" spans="1:9" x14ac:dyDescent="0.25">
      <c r="A674" t="s">
        <v>6</v>
      </c>
      <c r="B674" t="s">
        <v>29</v>
      </c>
      <c r="C674" t="s">
        <v>27</v>
      </c>
      <c r="D674" s="1">
        <v>44735</v>
      </c>
      <c r="E674" s="1" t="str">
        <f>TEXT(Sales[[#This Row],[Date]],"mmm")</f>
        <v>Jun</v>
      </c>
      <c r="F674" s="1" t="str">
        <f t="shared" si="20"/>
        <v>2022</v>
      </c>
      <c r="G674" s="1" t="str">
        <f t="shared" si="21"/>
        <v>Thu</v>
      </c>
      <c r="H674" s="7">
        <v>3857</v>
      </c>
      <c r="I674" s="6">
        <v>512</v>
      </c>
    </row>
    <row r="675" spans="1:9" x14ac:dyDescent="0.25">
      <c r="A675" t="s">
        <v>6</v>
      </c>
      <c r="B675" t="s">
        <v>7</v>
      </c>
      <c r="C675" t="s">
        <v>16</v>
      </c>
      <c r="D675" s="1">
        <v>44797</v>
      </c>
      <c r="E675" s="1" t="str">
        <f>TEXT(Sales[[#This Row],[Date]],"mmm")</f>
        <v>Aug</v>
      </c>
      <c r="F675" s="1" t="str">
        <f t="shared" si="20"/>
        <v>2022</v>
      </c>
      <c r="G675" s="1" t="str">
        <f t="shared" si="21"/>
        <v>Wed</v>
      </c>
      <c r="H675" s="7">
        <v>1463</v>
      </c>
      <c r="I675" s="6">
        <v>113</v>
      </c>
    </row>
    <row r="676" spans="1:9" x14ac:dyDescent="0.25">
      <c r="A676" t="s">
        <v>48</v>
      </c>
      <c r="B676" t="s">
        <v>7</v>
      </c>
      <c r="C676" t="s">
        <v>57</v>
      </c>
      <c r="D676" s="1">
        <v>44719</v>
      </c>
      <c r="E676" s="1" t="str">
        <f>TEXT(Sales[[#This Row],[Date]],"mmm")</f>
        <v>Jun</v>
      </c>
      <c r="F676" s="1" t="str">
        <f t="shared" si="20"/>
        <v>2022</v>
      </c>
      <c r="G676" s="1" t="str">
        <f t="shared" si="21"/>
        <v>Tue</v>
      </c>
      <c r="H676" s="7">
        <v>7924</v>
      </c>
      <c r="I676" s="6">
        <v>275</v>
      </c>
    </row>
    <row r="677" spans="1:9" x14ac:dyDescent="0.25">
      <c r="A677" t="s">
        <v>14</v>
      </c>
      <c r="B677" t="s">
        <v>7</v>
      </c>
      <c r="C677" t="s">
        <v>44</v>
      </c>
      <c r="D677" s="1">
        <v>44734</v>
      </c>
      <c r="E677" s="1" t="str">
        <f>TEXT(Sales[[#This Row],[Date]],"mmm")</f>
        <v>Jun</v>
      </c>
      <c r="F677" s="1" t="str">
        <f t="shared" si="20"/>
        <v>2022</v>
      </c>
      <c r="G677" s="1" t="str">
        <f t="shared" si="21"/>
        <v>Wed</v>
      </c>
      <c r="H677" s="7">
        <v>8799</v>
      </c>
      <c r="I677" s="6">
        <v>47</v>
      </c>
    </row>
    <row r="678" spans="1:9" x14ac:dyDescent="0.25">
      <c r="A678" t="s">
        <v>54</v>
      </c>
      <c r="B678" t="s">
        <v>26</v>
      </c>
      <c r="C678" t="s">
        <v>42</v>
      </c>
      <c r="D678" s="1">
        <v>44755</v>
      </c>
      <c r="E678" s="1" t="str">
        <f>TEXT(Sales[[#This Row],[Date]],"mmm")</f>
        <v>Jul</v>
      </c>
      <c r="F678" s="1" t="str">
        <f t="shared" si="20"/>
        <v>2022</v>
      </c>
      <c r="G678" s="1" t="str">
        <f t="shared" si="21"/>
        <v>Wed</v>
      </c>
      <c r="H678" s="7">
        <v>2898</v>
      </c>
      <c r="I678" s="6">
        <v>276</v>
      </c>
    </row>
    <row r="679" spans="1:9" x14ac:dyDescent="0.25">
      <c r="A679" t="s">
        <v>49</v>
      </c>
      <c r="B679" t="s">
        <v>7</v>
      </c>
      <c r="C679" t="s">
        <v>52</v>
      </c>
      <c r="D679" s="1">
        <v>44705</v>
      </c>
      <c r="E679" s="1" t="str">
        <f>TEXT(Sales[[#This Row],[Date]],"mmm")</f>
        <v>May</v>
      </c>
      <c r="F679" s="1" t="str">
        <f t="shared" si="20"/>
        <v>2022</v>
      </c>
      <c r="G679" s="1" t="str">
        <f t="shared" si="21"/>
        <v>Tue</v>
      </c>
      <c r="H679" s="7">
        <v>9506</v>
      </c>
      <c r="I679" s="6">
        <v>212</v>
      </c>
    </row>
    <row r="680" spans="1:9" x14ac:dyDescent="0.25">
      <c r="A680" t="s">
        <v>19</v>
      </c>
      <c r="B680" t="s">
        <v>21</v>
      </c>
      <c r="C680" t="s">
        <v>20</v>
      </c>
      <c r="D680" s="1">
        <v>44782</v>
      </c>
      <c r="E680" s="1" t="str">
        <f>TEXT(Sales[[#This Row],[Date]],"mmm")</f>
        <v>Aug</v>
      </c>
      <c r="F680" s="1" t="str">
        <f t="shared" si="20"/>
        <v>2022</v>
      </c>
      <c r="G680" s="1" t="str">
        <f t="shared" si="21"/>
        <v>Tue</v>
      </c>
      <c r="H680" s="7">
        <v>7175</v>
      </c>
      <c r="I680" s="6">
        <v>145</v>
      </c>
    </row>
    <row r="681" spans="1:9" x14ac:dyDescent="0.25">
      <c r="A681" t="s">
        <v>41</v>
      </c>
      <c r="B681" t="s">
        <v>29</v>
      </c>
      <c r="C681" t="s">
        <v>11</v>
      </c>
      <c r="D681" s="1">
        <v>44657</v>
      </c>
      <c r="E681" s="1" t="str">
        <f>TEXT(Sales[[#This Row],[Date]],"mmm")</f>
        <v>Apr</v>
      </c>
      <c r="F681" s="1" t="str">
        <f t="shared" si="20"/>
        <v>2022</v>
      </c>
      <c r="G681" s="1" t="str">
        <f t="shared" si="21"/>
        <v>Wed</v>
      </c>
      <c r="H681" s="7">
        <v>1729</v>
      </c>
      <c r="I681" s="6">
        <v>31</v>
      </c>
    </row>
    <row r="682" spans="1:9" x14ac:dyDescent="0.25">
      <c r="A682" t="s">
        <v>14</v>
      </c>
      <c r="B682" t="s">
        <v>21</v>
      </c>
      <c r="C682" t="s">
        <v>45</v>
      </c>
      <c r="D682" s="1">
        <v>44770</v>
      </c>
      <c r="E682" s="1" t="str">
        <f>TEXT(Sales[[#This Row],[Date]],"mmm")</f>
        <v>Jul</v>
      </c>
      <c r="F682" s="1" t="str">
        <f t="shared" si="20"/>
        <v>2022</v>
      </c>
      <c r="G682" s="1" t="str">
        <f t="shared" si="21"/>
        <v>Thu</v>
      </c>
      <c r="H682" s="7">
        <v>1589</v>
      </c>
      <c r="I682" s="6">
        <v>271</v>
      </c>
    </row>
    <row r="683" spans="1:9" x14ac:dyDescent="0.25">
      <c r="A683" t="s">
        <v>19</v>
      </c>
      <c r="B683" t="s">
        <v>21</v>
      </c>
      <c r="C683" t="s">
        <v>51</v>
      </c>
      <c r="D683" s="1">
        <v>44797</v>
      </c>
      <c r="E683" s="1" t="str">
        <f>TEXT(Sales[[#This Row],[Date]],"mmm")</f>
        <v>Aug</v>
      </c>
      <c r="F683" s="1" t="str">
        <f t="shared" si="20"/>
        <v>2022</v>
      </c>
      <c r="G683" s="1" t="str">
        <f t="shared" si="21"/>
        <v>Wed</v>
      </c>
      <c r="H683" s="7">
        <v>630</v>
      </c>
      <c r="I683" s="6">
        <v>52</v>
      </c>
    </row>
    <row r="684" spans="1:9" x14ac:dyDescent="0.25">
      <c r="A684" t="s">
        <v>9</v>
      </c>
      <c r="B684" t="s">
        <v>15</v>
      </c>
      <c r="C684" t="s">
        <v>18</v>
      </c>
      <c r="D684" s="1">
        <v>44578</v>
      </c>
      <c r="E684" s="1" t="str">
        <f>TEXT(Sales[[#This Row],[Date]],"mmm")</f>
        <v>Jan</v>
      </c>
      <c r="F684" s="1" t="str">
        <f t="shared" si="20"/>
        <v>2022</v>
      </c>
      <c r="G684" s="1" t="str">
        <f t="shared" si="21"/>
        <v>Mon</v>
      </c>
      <c r="H684" s="7">
        <v>112</v>
      </c>
      <c r="I684" s="6">
        <v>128</v>
      </c>
    </row>
    <row r="685" spans="1:9" x14ac:dyDescent="0.25">
      <c r="A685" t="s">
        <v>38</v>
      </c>
      <c r="B685" t="s">
        <v>26</v>
      </c>
      <c r="C685" t="s">
        <v>32</v>
      </c>
      <c r="D685" s="1">
        <v>44599</v>
      </c>
      <c r="E685" s="1" t="str">
        <f>TEXT(Sales[[#This Row],[Date]],"mmm")</f>
        <v>Feb</v>
      </c>
      <c r="F685" s="1" t="str">
        <f t="shared" si="20"/>
        <v>2022</v>
      </c>
      <c r="G685" s="1" t="str">
        <f t="shared" si="21"/>
        <v>Mon</v>
      </c>
      <c r="H685" s="7">
        <v>5187</v>
      </c>
      <c r="I685" s="6">
        <v>142</v>
      </c>
    </row>
    <row r="686" spans="1:9" x14ac:dyDescent="0.25">
      <c r="A686" t="s">
        <v>23</v>
      </c>
      <c r="B686" t="s">
        <v>15</v>
      </c>
      <c r="C686" t="s">
        <v>39</v>
      </c>
      <c r="D686" s="1">
        <v>44690</v>
      </c>
      <c r="E686" s="1" t="str">
        <f>TEXT(Sales[[#This Row],[Date]],"mmm")</f>
        <v>May</v>
      </c>
      <c r="F686" s="1" t="str">
        <f t="shared" si="20"/>
        <v>2022</v>
      </c>
      <c r="G686" s="1" t="str">
        <f t="shared" si="21"/>
        <v>Mon</v>
      </c>
      <c r="H686" s="7">
        <v>6223</v>
      </c>
      <c r="I686" s="6">
        <v>256</v>
      </c>
    </row>
    <row r="687" spans="1:9" x14ac:dyDescent="0.25">
      <c r="A687" t="s">
        <v>28</v>
      </c>
      <c r="B687" t="s">
        <v>21</v>
      </c>
      <c r="C687" t="s">
        <v>11</v>
      </c>
      <c r="D687" s="1">
        <v>44718</v>
      </c>
      <c r="E687" s="1" t="str">
        <f>TEXT(Sales[[#This Row],[Date]],"mmm")</f>
        <v>Jun</v>
      </c>
      <c r="F687" s="1" t="str">
        <f t="shared" si="20"/>
        <v>2022</v>
      </c>
      <c r="G687" s="1" t="str">
        <f t="shared" si="21"/>
        <v>Mon</v>
      </c>
      <c r="H687" s="7">
        <v>7714</v>
      </c>
      <c r="I687" s="6">
        <v>106</v>
      </c>
    </row>
    <row r="688" spans="1:9" x14ac:dyDescent="0.25">
      <c r="A688" t="s">
        <v>46</v>
      </c>
      <c r="B688" t="s">
        <v>26</v>
      </c>
      <c r="C688" t="s">
        <v>52</v>
      </c>
      <c r="D688" s="1">
        <v>44718</v>
      </c>
      <c r="E688" s="1" t="str">
        <f>TEXT(Sales[[#This Row],[Date]],"mmm")</f>
        <v>Jun</v>
      </c>
      <c r="F688" s="1" t="str">
        <f t="shared" si="20"/>
        <v>2022</v>
      </c>
      <c r="G688" s="1" t="str">
        <f t="shared" si="21"/>
        <v>Mon</v>
      </c>
      <c r="H688" s="7">
        <v>9457</v>
      </c>
      <c r="I688" s="6">
        <v>6</v>
      </c>
    </row>
    <row r="689" spans="1:9" x14ac:dyDescent="0.25">
      <c r="A689" t="s">
        <v>34</v>
      </c>
      <c r="B689" t="s">
        <v>21</v>
      </c>
      <c r="C689" t="s">
        <v>35</v>
      </c>
      <c r="D689" s="1">
        <v>44705</v>
      </c>
      <c r="E689" s="1" t="str">
        <f>TEXT(Sales[[#This Row],[Date]],"mmm")</f>
        <v>May</v>
      </c>
      <c r="F689" s="1" t="str">
        <f t="shared" si="20"/>
        <v>2022</v>
      </c>
      <c r="G689" s="1" t="str">
        <f t="shared" si="21"/>
        <v>Tue</v>
      </c>
      <c r="H689" s="7">
        <v>6678</v>
      </c>
      <c r="I689" s="6">
        <v>226</v>
      </c>
    </row>
    <row r="690" spans="1:9" x14ac:dyDescent="0.25">
      <c r="A690" t="s">
        <v>19</v>
      </c>
      <c r="B690" t="s">
        <v>7</v>
      </c>
      <c r="C690" t="s">
        <v>22</v>
      </c>
      <c r="D690" s="1">
        <v>44574</v>
      </c>
      <c r="E690" s="1" t="str">
        <f>TEXT(Sales[[#This Row],[Date]],"mmm")</f>
        <v>Jan</v>
      </c>
      <c r="F690" s="1" t="str">
        <f t="shared" si="20"/>
        <v>2022</v>
      </c>
      <c r="G690" s="1" t="str">
        <f t="shared" si="21"/>
        <v>Thu</v>
      </c>
      <c r="H690" s="7">
        <v>2107</v>
      </c>
      <c r="I690" s="6">
        <v>121</v>
      </c>
    </row>
    <row r="691" spans="1:9" x14ac:dyDescent="0.25">
      <c r="A691" t="s">
        <v>33</v>
      </c>
      <c r="B691" t="s">
        <v>26</v>
      </c>
      <c r="C691" t="s">
        <v>51</v>
      </c>
      <c r="D691" s="1">
        <v>44704</v>
      </c>
      <c r="E691" s="1" t="str">
        <f>TEXT(Sales[[#This Row],[Date]],"mmm")</f>
        <v>May</v>
      </c>
      <c r="F691" s="1" t="str">
        <f t="shared" si="20"/>
        <v>2022</v>
      </c>
      <c r="G691" s="1" t="str">
        <f t="shared" si="21"/>
        <v>Mon</v>
      </c>
      <c r="H691" s="7">
        <v>6069</v>
      </c>
      <c r="I691" s="6">
        <v>151</v>
      </c>
    </row>
    <row r="692" spans="1:9" x14ac:dyDescent="0.25">
      <c r="A692" t="s">
        <v>6</v>
      </c>
      <c r="B692" t="s">
        <v>7</v>
      </c>
      <c r="C692" t="s">
        <v>44</v>
      </c>
      <c r="D692" s="1">
        <v>44741</v>
      </c>
      <c r="E692" s="1" t="str">
        <f>TEXT(Sales[[#This Row],[Date]],"mmm")</f>
        <v>Jun</v>
      </c>
      <c r="F692" s="1" t="str">
        <f t="shared" si="20"/>
        <v>2022</v>
      </c>
      <c r="G692" s="1" t="str">
        <f t="shared" si="21"/>
        <v>Wed</v>
      </c>
      <c r="H692" s="7">
        <v>1862</v>
      </c>
      <c r="I692" s="6">
        <v>284</v>
      </c>
    </row>
    <row r="693" spans="1:9" x14ac:dyDescent="0.25">
      <c r="A693" t="s">
        <v>6</v>
      </c>
      <c r="B693" t="s">
        <v>21</v>
      </c>
      <c r="C693" t="s">
        <v>11</v>
      </c>
      <c r="D693" s="1">
        <v>44631</v>
      </c>
      <c r="E693" s="1" t="str">
        <f>TEXT(Sales[[#This Row],[Date]],"mmm")</f>
        <v>Mar</v>
      </c>
      <c r="F693" s="1" t="str">
        <f t="shared" si="20"/>
        <v>2022</v>
      </c>
      <c r="G693" s="1" t="str">
        <f t="shared" si="21"/>
        <v>Fri</v>
      </c>
      <c r="H693" s="7">
        <v>6972</v>
      </c>
      <c r="I693" s="6">
        <v>89</v>
      </c>
    </row>
    <row r="694" spans="1:9" x14ac:dyDescent="0.25">
      <c r="A694" t="s">
        <v>54</v>
      </c>
      <c r="B694" t="s">
        <v>26</v>
      </c>
      <c r="C694" t="s">
        <v>11</v>
      </c>
      <c r="D694" s="1">
        <v>44676</v>
      </c>
      <c r="E694" s="1" t="str">
        <f>TEXT(Sales[[#This Row],[Date]],"mmm")</f>
        <v>Apr</v>
      </c>
      <c r="F694" s="1" t="str">
        <f t="shared" si="20"/>
        <v>2022</v>
      </c>
      <c r="G694" s="1" t="str">
        <f t="shared" si="21"/>
        <v>Mon</v>
      </c>
      <c r="H694" s="7">
        <v>10220</v>
      </c>
      <c r="I694" s="6">
        <v>508</v>
      </c>
    </row>
    <row r="695" spans="1:9" x14ac:dyDescent="0.25">
      <c r="A695" t="s">
        <v>24</v>
      </c>
      <c r="B695" t="s">
        <v>15</v>
      </c>
      <c r="C695" t="s">
        <v>16</v>
      </c>
      <c r="D695" s="1">
        <v>44711</v>
      </c>
      <c r="E695" s="1" t="str">
        <f>TEXT(Sales[[#This Row],[Date]],"mmm")</f>
        <v>May</v>
      </c>
      <c r="F695" s="1" t="str">
        <f t="shared" si="20"/>
        <v>2022</v>
      </c>
      <c r="G695" s="1" t="str">
        <f t="shared" si="21"/>
        <v>Mon</v>
      </c>
      <c r="H695" s="7">
        <v>3969</v>
      </c>
      <c r="I695" s="6">
        <v>243</v>
      </c>
    </row>
    <row r="696" spans="1:9" x14ac:dyDescent="0.25">
      <c r="A696" t="s">
        <v>38</v>
      </c>
      <c r="B696" t="s">
        <v>10</v>
      </c>
      <c r="C696" t="s">
        <v>45</v>
      </c>
      <c r="D696" s="1">
        <v>44704</v>
      </c>
      <c r="E696" s="1" t="str">
        <f>TEXT(Sales[[#This Row],[Date]],"mmm")</f>
        <v>May</v>
      </c>
      <c r="F696" s="1" t="str">
        <f t="shared" si="20"/>
        <v>2022</v>
      </c>
      <c r="G696" s="1" t="str">
        <f t="shared" si="21"/>
        <v>Mon</v>
      </c>
      <c r="H696" s="7">
        <v>1547</v>
      </c>
      <c r="I696" s="6">
        <v>170</v>
      </c>
    </row>
    <row r="697" spans="1:9" x14ac:dyDescent="0.25">
      <c r="A697" t="s">
        <v>28</v>
      </c>
      <c r="B697" t="s">
        <v>26</v>
      </c>
      <c r="C697" t="s">
        <v>13</v>
      </c>
      <c r="D697" s="1">
        <v>44704</v>
      </c>
      <c r="E697" s="1" t="str">
        <f>TEXT(Sales[[#This Row],[Date]],"mmm")</f>
        <v>May</v>
      </c>
      <c r="F697" s="1" t="str">
        <f t="shared" si="20"/>
        <v>2022</v>
      </c>
      <c r="G697" s="1" t="str">
        <f t="shared" si="21"/>
        <v>Mon</v>
      </c>
      <c r="H697" s="7">
        <v>1162</v>
      </c>
      <c r="I697" s="6">
        <v>18</v>
      </c>
    </row>
    <row r="698" spans="1:9" x14ac:dyDescent="0.25">
      <c r="A698" t="s">
        <v>9</v>
      </c>
      <c r="B698" t="s">
        <v>29</v>
      </c>
      <c r="C698" t="s">
        <v>13</v>
      </c>
      <c r="D698" s="1">
        <v>44736</v>
      </c>
      <c r="E698" s="1" t="str">
        <f>TEXT(Sales[[#This Row],[Date]],"mmm")</f>
        <v>Jun</v>
      </c>
      <c r="F698" s="1" t="str">
        <f t="shared" si="20"/>
        <v>2022</v>
      </c>
      <c r="G698" s="1" t="str">
        <f t="shared" si="21"/>
        <v>Fri</v>
      </c>
      <c r="H698" s="7">
        <v>6342</v>
      </c>
      <c r="I698" s="6">
        <v>282</v>
      </c>
    </row>
    <row r="699" spans="1:9" x14ac:dyDescent="0.25">
      <c r="A699" t="s">
        <v>49</v>
      </c>
      <c r="B699" t="s">
        <v>21</v>
      </c>
      <c r="C699" t="s">
        <v>16</v>
      </c>
      <c r="D699" s="1">
        <v>44631</v>
      </c>
      <c r="E699" s="1" t="str">
        <f>TEXT(Sales[[#This Row],[Date]],"mmm")</f>
        <v>Mar</v>
      </c>
      <c r="F699" s="1" t="str">
        <f t="shared" si="20"/>
        <v>2022</v>
      </c>
      <c r="G699" s="1" t="str">
        <f t="shared" si="21"/>
        <v>Fri</v>
      </c>
      <c r="H699" s="7">
        <v>10633</v>
      </c>
      <c r="I699" s="6">
        <v>277</v>
      </c>
    </row>
    <row r="700" spans="1:9" x14ac:dyDescent="0.25">
      <c r="A700" t="s">
        <v>24</v>
      </c>
      <c r="B700" t="s">
        <v>26</v>
      </c>
      <c r="C700" t="s">
        <v>16</v>
      </c>
      <c r="D700" s="1">
        <v>44769</v>
      </c>
      <c r="E700" s="1" t="str">
        <f>TEXT(Sales[[#This Row],[Date]],"mmm")</f>
        <v>Jul</v>
      </c>
      <c r="F700" s="1" t="str">
        <f t="shared" si="20"/>
        <v>2022</v>
      </c>
      <c r="G700" s="1" t="str">
        <f t="shared" si="21"/>
        <v>Wed</v>
      </c>
      <c r="H700" s="7">
        <v>15057</v>
      </c>
      <c r="I700" s="6">
        <v>212</v>
      </c>
    </row>
    <row r="701" spans="1:9" x14ac:dyDescent="0.25">
      <c r="A701" t="s">
        <v>24</v>
      </c>
      <c r="B701" t="s">
        <v>26</v>
      </c>
      <c r="C701" t="s">
        <v>44</v>
      </c>
      <c r="D701" s="1">
        <v>44789</v>
      </c>
      <c r="E701" s="1" t="str">
        <f>TEXT(Sales[[#This Row],[Date]],"mmm")</f>
        <v>Aug</v>
      </c>
      <c r="F701" s="1" t="str">
        <f t="shared" si="20"/>
        <v>2022</v>
      </c>
      <c r="G701" s="1" t="str">
        <f t="shared" si="21"/>
        <v>Tue</v>
      </c>
      <c r="H701" s="7">
        <v>4704</v>
      </c>
      <c r="I701" s="6">
        <v>126</v>
      </c>
    </row>
    <row r="702" spans="1:9" x14ac:dyDescent="0.25">
      <c r="A702" t="s">
        <v>36</v>
      </c>
      <c r="B702" t="s">
        <v>29</v>
      </c>
      <c r="C702" t="s">
        <v>16</v>
      </c>
      <c r="D702" s="1">
        <v>44627</v>
      </c>
      <c r="E702" s="1" t="str">
        <f>TEXT(Sales[[#This Row],[Date]],"mmm")</f>
        <v>Mar</v>
      </c>
      <c r="F702" s="1" t="str">
        <f t="shared" si="20"/>
        <v>2022</v>
      </c>
      <c r="G702" s="1" t="str">
        <f t="shared" si="21"/>
        <v>Mon</v>
      </c>
      <c r="H702" s="7">
        <v>9338</v>
      </c>
      <c r="I702" s="6">
        <v>11</v>
      </c>
    </row>
    <row r="703" spans="1:9" x14ac:dyDescent="0.25">
      <c r="A703" t="s">
        <v>38</v>
      </c>
      <c r="B703" t="s">
        <v>21</v>
      </c>
      <c r="C703" t="s">
        <v>20</v>
      </c>
      <c r="D703" s="1">
        <v>44656</v>
      </c>
      <c r="E703" s="1" t="str">
        <f>TEXT(Sales[[#This Row],[Date]],"mmm")</f>
        <v>Apr</v>
      </c>
      <c r="F703" s="1" t="str">
        <f t="shared" si="20"/>
        <v>2022</v>
      </c>
      <c r="G703" s="1" t="str">
        <f t="shared" si="21"/>
        <v>Tue</v>
      </c>
      <c r="H703" s="7">
        <v>7959</v>
      </c>
      <c r="I703" s="6">
        <v>30</v>
      </c>
    </row>
    <row r="704" spans="1:9" x14ac:dyDescent="0.25">
      <c r="A704" t="s">
        <v>50</v>
      </c>
      <c r="B704" t="s">
        <v>10</v>
      </c>
      <c r="C704" t="s">
        <v>11</v>
      </c>
      <c r="D704" s="1">
        <v>44685</v>
      </c>
      <c r="E704" s="1" t="str">
        <f>TEXT(Sales[[#This Row],[Date]],"mmm")</f>
        <v>May</v>
      </c>
      <c r="F704" s="1" t="str">
        <f t="shared" si="20"/>
        <v>2022</v>
      </c>
      <c r="G704" s="1" t="str">
        <f t="shared" si="21"/>
        <v>Wed</v>
      </c>
      <c r="H704" s="7">
        <v>9023</v>
      </c>
      <c r="I704" s="6">
        <v>51</v>
      </c>
    </row>
    <row r="705" spans="1:9" x14ac:dyDescent="0.25">
      <c r="A705" t="s">
        <v>55</v>
      </c>
      <c r="B705" t="s">
        <v>26</v>
      </c>
      <c r="C705" t="s">
        <v>52</v>
      </c>
      <c r="D705" s="1">
        <v>44565</v>
      </c>
      <c r="E705" s="1" t="str">
        <f>TEXT(Sales[[#This Row],[Date]],"mmm")</f>
        <v>Jan</v>
      </c>
      <c r="F705" s="1" t="str">
        <f t="shared" si="20"/>
        <v>2022</v>
      </c>
      <c r="G705" s="1" t="str">
        <f t="shared" si="21"/>
        <v>Tue</v>
      </c>
      <c r="H705" s="7">
        <v>14525</v>
      </c>
      <c r="I705" s="6">
        <v>92</v>
      </c>
    </row>
    <row r="706" spans="1:9" x14ac:dyDescent="0.25">
      <c r="A706" t="s">
        <v>33</v>
      </c>
      <c r="B706" t="s">
        <v>15</v>
      </c>
      <c r="C706" t="s">
        <v>56</v>
      </c>
      <c r="D706" s="1">
        <v>44574</v>
      </c>
      <c r="E706" s="1" t="str">
        <f>TEXT(Sales[[#This Row],[Date]],"mmm")</f>
        <v>Jan</v>
      </c>
      <c r="F706" s="1" t="str">
        <f t="shared" ref="F706:F769" si="22">TEXT(D:D,"yyyy")</f>
        <v>2022</v>
      </c>
      <c r="G706" s="1" t="str">
        <f t="shared" ref="G706:G769" si="23">TEXT(D:D,"ddd")</f>
        <v>Thu</v>
      </c>
      <c r="H706" s="7">
        <v>5810</v>
      </c>
      <c r="I706" s="6">
        <v>101</v>
      </c>
    </row>
    <row r="707" spans="1:9" x14ac:dyDescent="0.25">
      <c r="A707" t="s">
        <v>46</v>
      </c>
      <c r="B707" t="s">
        <v>21</v>
      </c>
      <c r="C707" t="s">
        <v>42</v>
      </c>
      <c r="D707" s="1">
        <v>44753</v>
      </c>
      <c r="E707" s="1" t="str">
        <f>TEXT(Sales[[#This Row],[Date]],"mmm")</f>
        <v>Jul</v>
      </c>
      <c r="F707" s="1" t="str">
        <f t="shared" si="22"/>
        <v>2022</v>
      </c>
      <c r="G707" s="1" t="str">
        <f t="shared" si="23"/>
        <v>Mon</v>
      </c>
      <c r="H707" s="7">
        <v>6426</v>
      </c>
      <c r="I707" s="6">
        <v>98</v>
      </c>
    </row>
    <row r="708" spans="1:9" x14ac:dyDescent="0.25">
      <c r="A708" t="s">
        <v>41</v>
      </c>
      <c r="B708" t="s">
        <v>15</v>
      </c>
      <c r="C708" t="s">
        <v>8</v>
      </c>
      <c r="D708" s="1">
        <v>44698</v>
      </c>
      <c r="E708" s="1" t="str">
        <f>TEXT(Sales[[#This Row],[Date]],"mmm")</f>
        <v>May</v>
      </c>
      <c r="F708" s="1" t="str">
        <f t="shared" si="22"/>
        <v>2022</v>
      </c>
      <c r="G708" s="1" t="str">
        <f t="shared" si="23"/>
        <v>Tue</v>
      </c>
      <c r="H708" s="7">
        <v>4403</v>
      </c>
      <c r="I708" s="6">
        <v>159</v>
      </c>
    </row>
    <row r="709" spans="1:9" x14ac:dyDescent="0.25">
      <c r="A709" t="s">
        <v>50</v>
      </c>
      <c r="B709" t="s">
        <v>21</v>
      </c>
      <c r="C709" t="s">
        <v>13</v>
      </c>
      <c r="D709" s="1">
        <v>44763</v>
      </c>
      <c r="E709" s="1" t="str">
        <f>TEXT(Sales[[#This Row],[Date]],"mmm")</f>
        <v>Jul</v>
      </c>
      <c r="F709" s="1" t="str">
        <f t="shared" si="22"/>
        <v>2022</v>
      </c>
      <c r="G709" s="1" t="str">
        <f t="shared" si="23"/>
        <v>Thu</v>
      </c>
      <c r="H709" s="7">
        <v>1582</v>
      </c>
      <c r="I709" s="6">
        <v>62</v>
      </c>
    </row>
    <row r="710" spans="1:9" x14ac:dyDescent="0.25">
      <c r="A710" t="s">
        <v>38</v>
      </c>
      <c r="B710" t="s">
        <v>29</v>
      </c>
      <c r="C710" t="s">
        <v>35</v>
      </c>
      <c r="D710" s="1">
        <v>44614</v>
      </c>
      <c r="E710" s="1" t="str">
        <f>TEXT(Sales[[#This Row],[Date]],"mmm")</f>
        <v>Feb</v>
      </c>
      <c r="F710" s="1" t="str">
        <f t="shared" si="22"/>
        <v>2022</v>
      </c>
      <c r="G710" s="1" t="str">
        <f t="shared" si="23"/>
        <v>Tue</v>
      </c>
      <c r="H710" s="7">
        <v>791</v>
      </c>
      <c r="I710" s="6">
        <v>22</v>
      </c>
    </row>
    <row r="711" spans="1:9" x14ac:dyDescent="0.25">
      <c r="A711" t="s">
        <v>14</v>
      </c>
      <c r="B711" t="s">
        <v>10</v>
      </c>
      <c r="C711" t="s">
        <v>18</v>
      </c>
      <c r="D711" s="1">
        <v>44704</v>
      </c>
      <c r="E711" s="1" t="str">
        <f>TEXT(Sales[[#This Row],[Date]],"mmm")</f>
        <v>May</v>
      </c>
      <c r="F711" s="1" t="str">
        <f t="shared" si="22"/>
        <v>2022</v>
      </c>
      <c r="G711" s="1" t="str">
        <f t="shared" si="23"/>
        <v>Mon</v>
      </c>
      <c r="H711" s="7">
        <v>9100</v>
      </c>
      <c r="I711" s="6">
        <v>187</v>
      </c>
    </row>
    <row r="712" spans="1:9" x14ac:dyDescent="0.25">
      <c r="A712" t="s">
        <v>24</v>
      </c>
      <c r="B712" t="s">
        <v>29</v>
      </c>
      <c r="C712" t="s">
        <v>32</v>
      </c>
      <c r="D712" s="1">
        <v>44754</v>
      </c>
      <c r="E712" s="1" t="str">
        <f>TEXT(Sales[[#This Row],[Date]],"mmm")</f>
        <v>Jul</v>
      </c>
      <c r="F712" s="1" t="str">
        <f t="shared" si="22"/>
        <v>2022</v>
      </c>
      <c r="G712" s="1" t="str">
        <f t="shared" si="23"/>
        <v>Tue</v>
      </c>
      <c r="H712" s="7">
        <v>9884</v>
      </c>
      <c r="I712" s="6">
        <v>200</v>
      </c>
    </row>
    <row r="713" spans="1:9" x14ac:dyDescent="0.25">
      <c r="A713" t="s">
        <v>14</v>
      </c>
      <c r="B713" t="s">
        <v>7</v>
      </c>
      <c r="C713" t="s">
        <v>27</v>
      </c>
      <c r="D713" s="1">
        <v>44727</v>
      </c>
      <c r="E713" s="1" t="str">
        <f>TEXT(Sales[[#This Row],[Date]],"mmm")</f>
        <v>Jun</v>
      </c>
      <c r="F713" s="1" t="str">
        <f t="shared" si="22"/>
        <v>2022</v>
      </c>
      <c r="G713" s="1" t="str">
        <f t="shared" si="23"/>
        <v>Wed</v>
      </c>
      <c r="H713" s="7">
        <v>3780</v>
      </c>
      <c r="I713" s="6">
        <v>201</v>
      </c>
    </row>
    <row r="714" spans="1:9" x14ac:dyDescent="0.25">
      <c r="A714" t="s">
        <v>25</v>
      </c>
      <c r="B714" t="s">
        <v>21</v>
      </c>
      <c r="C714" t="s">
        <v>22</v>
      </c>
      <c r="D714" s="1">
        <v>44735</v>
      </c>
      <c r="E714" s="1" t="str">
        <f>TEXT(Sales[[#This Row],[Date]],"mmm")</f>
        <v>Jun</v>
      </c>
      <c r="F714" s="1" t="str">
        <f t="shared" si="22"/>
        <v>2022</v>
      </c>
      <c r="G714" s="1" t="str">
        <f t="shared" si="23"/>
        <v>Thu</v>
      </c>
      <c r="H714" s="7">
        <v>4557</v>
      </c>
      <c r="I714" s="6">
        <v>308</v>
      </c>
    </row>
    <row r="715" spans="1:9" x14ac:dyDescent="0.25">
      <c r="A715" t="s">
        <v>38</v>
      </c>
      <c r="B715" t="s">
        <v>15</v>
      </c>
      <c r="C715" t="s">
        <v>30</v>
      </c>
      <c r="D715" s="1">
        <v>44645</v>
      </c>
      <c r="E715" s="1" t="str">
        <f>TEXT(Sales[[#This Row],[Date]],"mmm")</f>
        <v>Mar</v>
      </c>
      <c r="F715" s="1" t="str">
        <f t="shared" si="22"/>
        <v>2022</v>
      </c>
      <c r="G715" s="1" t="str">
        <f t="shared" si="23"/>
        <v>Fri</v>
      </c>
      <c r="H715" s="7">
        <v>5796</v>
      </c>
      <c r="I715" s="6">
        <v>55</v>
      </c>
    </row>
    <row r="716" spans="1:9" x14ac:dyDescent="0.25">
      <c r="A716" t="s">
        <v>14</v>
      </c>
      <c r="B716" t="s">
        <v>10</v>
      </c>
      <c r="C716" t="s">
        <v>57</v>
      </c>
      <c r="D716" s="1">
        <v>44746</v>
      </c>
      <c r="E716" s="1" t="str">
        <f>TEXT(Sales[[#This Row],[Date]],"mmm")</f>
        <v>Jul</v>
      </c>
      <c r="F716" s="1" t="str">
        <f t="shared" si="22"/>
        <v>2022</v>
      </c>
      <c r="G716" s="1" t="str">
        <f t="shared" si="23"/>
        <v>Mon</v>
      </c>
      <c r="H716" s="7">
        <v>84</v>
      </c>
      <c r="I716" s="6">
        <v>153</v>
      </c>
    </row>
    <row r="717" spans="1:9" x14ac:dyDescent="0.25">
      <c r="A717" t="s">
        <v>48</v>
      </c>
      <c r="B717" t="s">
        <v>7</v>
      </c>
      <c r="C717" t="s">
        <v>44</v>
      </c>
      <c r="D717" s="1">
        <v>44693</v>
      </c>
      <c r="E717" s="1" t="str">
        <f>TEXT(Sales[[#This Row],[Date]],"mmm")</f>
        <v>May</v>
      </c>
      <c r="F717" s="1" t="str">
        <f t="shared" si="22"/>
        <v>2022</v>
      </c>
      <c r="G717" s="1" t="str">
        <f t="shared" si="23"/>
        <v>Thu</v>
      </c>
      <c r="H717" s="7">
        <v>9037</v>
      </c>
      <c r="I717" s="6">
        <v>101</v>
      </c>
    </row>
    <row r="718" spans="1:9" x14ac:dyDescent="0.25">
      <c r="A718" t="s">
        <v>50</v>
      </c>
      <c r="B718" t="s">
        <v>21</v>
      </c>
      <c r="C718" t="s">
        <v>51</v>
      </c>
      <c r="D718" s="1">
        <v>44655</v>
      </c>
      <c r="E718" s="1" t="str">
        <f>TEXT(Sales[[#This Row],[Date]],"mmm")</f>
        <v>Apr</v>
      </c>
      <c r="F718" s="1" t="str">
        <f t="shared" si="22"/>
        <v>2022</v>
      </c>
      <c r="G718" s="1" t="str">
        <f t="shared" si="23"/>
        <v>Mon</v>
      </c>
      <c r="H718" s="7">
        <v>4746</v>
      </c>
      <c r="I718" s="6">
        <v>137</v>
      </c>
    </row>
    <row r="719" spans="1:9" x14ac:dyDescent="0.25">
      <c r="A719" t="s">
        <v>53</v>
      </c>
      <c r="B719" t="s">
        <v>15</v>
      </c>
      <c r="C719" t="s">
        <v>27</v>
      </c>
      <c r="D719" s="1">
        <v>44666</v>
      </c>
      <c r="E719" s="1" t="str">
        <f>TEXT(Sales[[#This Row],[Date]],"mmm")</f>
        <v>Apr</v>
      </c>
      <c r="F719" s="1" t="str">
        <f t="shared" si="22"/>
        <v>2022</v>
      </c>
      <c r="G719" s="1" t="str">
        <f t="shared" si="23"/>
        <v>Fri</v>
      </c>
      <c r="H719" s="7">
        <v>6713</v>
      </c>
      <c r="I719" s="6">
        <v>398</v>
      </c>
    </row>
    <row r="720" spans="1:9" x14ac:dyDescent="0.25">
      <c r="A720" t="s">
        <v>36</v>
      </c>
      <c r="B720" t="s">
        <v>29</v>
      </c>
      <c r="C720" t="s">
        <v>30</v>
      </c>
      <c r="D720" s="1">
        <v>44628</v>
      </c>
      <c r="E720" s="1" t="str">
        <f>TEXT(Sales[[#This Row],[Date]],"mmm")</f>
        <v>Mar</v>
      </c>
      <c r="F720" s="1" t="str">
        <f t="shared" si="22"/>
        <v>2022</v>
      </c>
      <c r="G720" s="1" t="str">
        <f t="shared" si="23"/>
        <v>Tue</v>
      </c>
      <c r="H720" s="7">
        <v>6237</v>
      </c>
      <c r="I720" s="6">
        <v>88</v>
      </c>
    </row>
    <row r="721" spans="1:9" x14ac:dyDescent="0.25">
      <c r="A721" t="s">
        <v>31</v>
      </c>
      <c r="B721" t="s">
        <v>10</v>
      </c>
      <c r="C721" t="s">
        <v>44</v>
      </c>
      <c r="D721" s="1">
        <v>44578</v>
      </c>
      <c r="E721" s="1" t="str">
        <f>TEXT(Sales[[#This Row],[Date]],"mmm")</f>
        <v>Jan</v>
      </c>
      <c r="F721" s="1" t="str">
        <f t="shared" si="22"/>
        <v>2022</v>
      </c>
      <c r="G721" s="1" t="str">
        <f t="shared" si="23"/>
        <v>Mon</v>
      </c>
      <c r="H721" s="7">
        <v>7483</v>
      </c>
      <c r="I721" s="6">
        <v>232</v>
      </c>
    </row>
    <row r="722" spans="1:9" x14ac:dyDescent="0.25">
      <c r="A722" t="s">
        <v>46</v>
      </c>
      <c r="B722" t="s">
        <v>10</v>
      </c>
      <c r="C722" t="s">
        <v>8</v>
      </c>
      <c r="D722" s="1">
        <v>44795</v>
      </c>
      <c r="E722" s="1" t="str">
        <f>TEXT(Sales[[#This Row],[Date]],"mmm")</f>
        <v>Aug</v>
      </c>
      <c r="F722" s="1" t="str">
        <f t="shared" si="22"/>
        <v>2022</v>
      </c>
      <c r="G722" s="1" t="str">
        <f t="shared" si="23"/>
        <v>Mon</v>
      </c>
      <c r="H722" s="7">
        <v>1309</v>
      </c>
      <c r="I722" s="6">
        <v>51</v>
      </c>
    </row>
    <row r="723" spans="1:9" x14ac:dyDescent="0.25">
      <c r="A723" t="s">
        <v>48</v>
      </c>
      <c r="B723" t="s">
        <v>7</v>
      </c>
      <c r="C723" t="s">
        <v>18</v>
      </c>
      <c r="D723" s="1">
        <v>44767</v>
      </c>
      <c r="E723" s="1" t="str">
        <f>TEXT(Sales[[#This Row],[Date]],"mmm")</f>
        <v>Jul</v>
      </c>
      <c r="F723" s="1" t="str">
        <f t="shared" si="22"/>
        <v>2022</v>
      </c>
      <c r="G723" s="1" t="str">
        <f t="shared" si="23"/>
        <v>Mon</v>
      </c>
      <c r="H723" s="7">
        <v>1155</v>
      </c>
      <c r="I723" s="6">
        <v>66</v>
      </c>
    </row>
    <row r="724" spans="1:9" x14ac:dyDescent="0.25">
      <c r="A724" t="s">
        <v>33</v>
      </c>
      <c r="B724" t="s">
        <v>7</v>
      </c>
      <c r="C724" t="s">
        <v>22</v>
      </c>
      <c r="D724" s="1">
        <v>44726</v>
      </c>
      <c r="E724" s="1" t="str">
        <f>TEXT(Sales[[#This Row],[Date]],"mmm")</f>
        <v>Jun</v>
      </c>
      <c r="F724" s="1" t="str">
        <f t="shared" si="22"/>
        <v>2022</v>
      </c>
      <c r="G724" s="1" t="str">
        <f t="shared" si="23"/>
        <v>Tue</v>
      </c>
      <c r="H724" s="7">
        <v>2989</v>
      </c>
      <c r="I724" s="6">
        <v>124</v>
      </c>
    </row>
    <row r="725" spans="1:9" x14ac:dyDescent="0.25">
      <c r="A725" t="s">
        <v>55</v>
      </c>
      <c r="B725" t="s">
        <v>10</v>
      </c>
      <c r="C725" t="s">
        <v>52</v>
      </c>
      <c r="D725" s="1">
        <v>44656</v>
      </c>
      <c r="E725" s="1" t="str">
        <f>TEXT(Sales[[#This Row],[Date]],"mmm")</f>
        <v>Apr</v>
      </c>
      <c r="F725" s="1" t="str">
        <f t="shared" si="22"/>
        <v>2022</v>
      </c>
      <c r="G725" s="1" t="str">
        <f t="shared" si="23"/>
        <v>Tue</v>
      </c>
      <c r="H725" s="7">
        <v>9625</v>
      </c>
      <c r="I725" s="6">
        <v>78</v>
      </c>
    </row>
    <row r="726" spans="1:9" x14ac:dyDescent="0.25">
      <c r="A726" t="s">
        <v>53</v>
      </c>
      <c r="B726" t="s">
        <v>7</v>
      </c>
      <c r="C726" t="s">
        <v>51</v>
      </c>
      <c r="D726" s="1">
        <v>44799</v>
      </c>
      <c r="E726" s="1" t="str">
        <f>TEXT(Sales[[#This Row],[Date]],"mmm")</f>
        <v>Aug</v>
      </c>
      <c r="F726" s="1" t="str">
        <f t="shared" si="22"/>
        <v>2022</v>
      </c>
      <c r="G726" s="1" t="str">
        <f t="shared" si="23"/>
        <v>Fri</v>
      </c>
      <c r="H726" s="7">
        <v>7357</v>
      </c>
      <c r="I726" s="6">
        <v>341</v>
      </c>
    </row>
    <row r="727" spans="1:9" x14ac:dyDescent="0.25">
      <c r="A727" t="s">
        <v>46</v>
      </c>
      <c r="B727" t="s">
        <v>15</v>
      </c>
      <c r="C727" t="s">
        <v>22</v>
      </c>
      <c r="D727" s="1">
        <v>44776</v>
      </c>
      <c r="E727" s="1" t="str">
        <f>TEXT(Sales[[#This Row],[Date]],"mmm")</f>
        <v>Aug</v>
      </c>
      <c r="F727" s="1" t="str">
        <f t="shared" si="22"/>
        <v>2022</v>
      </c>
      <c r="G727" s="1" t="str">
        <f t="shared" si="23"/>
        <v>Wed</v>
      </c>
      <c r="H727" s="7">
        <v>10031</v>
      </c>
      <c r="I727" s="6">
        <v>114</v>
      </c>
    </row>
    <row r="728" spans="1:9" x14ac:dyDescent="0.25">
      <c r="A728" t="s">
        <v>12</v>
      </c>
      <c r="B728" t="s">
        <v>29</v>
      </c>
      <c r="C728" t="s">
        <v>44</v>
      </c>
      <c r="D728" s="1">
        <v>44753</v>
      </c>
      <c r="E728" s="1" t="str">
        <f>TEXT(Sales[[#This Row],[Date]],"mmm")</f>
        <v>Jul</v>
      </c>
      <c r="F728" s="1" t="str">
        <f t="shared" si="22"/>
        <v>2022</v>
      </c>
      <c r="G728" s="1" t="str">
        <f t="shared" si="23"/>
        <v>Mon</v>
      </c>
      <c r="H728" s="7">
        <v>6587</v>
      </c>
      <c r="I728" s="6">
        <v>4</v>
      </c>
    </row>
    <row r="729" spans="1:9" x14ac:dyDescent="0.25">
      <c r="A729" t="s">
        <v>46</v>
      </c>
      <c r="B729" t="s">
        <v>21</v>
      </c>
      <c r="C729" t="s">
        <v>30</v>
      </c>
      <c r="D729" s="1">
        <v>44631</v>
      </c>
      <c r="E729" s="1" t="str">
        <f>TEXT(Sales[[#This Row],[Date]],"mmm")</f>
        <v>Mar</v>
      </c>
      <c r="F729" s="1" t="str">
        <f t="shared" si="22"/>
        <v>2022</v>
      </c>
      <c r="G729" s="1" t="str">
        <f t="shared" si="23"/>
        <v>Fri</v>
      </c>
      <c r="H729" s="7">
        <v>3311</v>
      </c>
      <c r="I729" s="6">
        <v>22</v>
      </c>
    </row>
    <row r="730" spans="1:9" x14ac:dyDescent="0.25">
      <c r="A730" t="s">
        <v>23</v>
      </c>
      <c r="B730" t="s">
        <v>7</v>
      </c>
      <c r="C730" t="s">
        <v>13</v>
      </c>
      <c r="D730" s="1">
        <v>44571</v>
      </c>
      <c r="E730" s="1" t="str">
        <f>TEXT(Sales[[#This Row],[Date]],"mmm")</f>
        <v>Jan</v>
      </c>
      <c r="F730" s="1" t="str">
        <f t="shared" si="22"/>
        <v>2022</v>
      </c>
      <c r="G730" s="1" t="str">
        <f t="shared" si="23"/>
        <v>Mon</v>
      </c>
      <c r="H730" s="7">
        <v>15330</v>
      </c>
      <c r="I730" s="6">
        <v>30</v>
      </c>
    </row>
    <row r="731" spans="1:9" x14ac:dyDescent="0.25">
      <c r="A731" t="s">
        <v>36</v>
      </c>
      <c r="B731" t="s">
        <v>7</v>
      </c>
      <c r="C731" t="s">
        <v>56</v>
      </c>
      <c r="D731" s="1">
        <v>44655</v>
      </c>
      <c r="E731" s="1" t="str">
        <f>TEXT(Sales[[#This Row],[Date]],"mmm")</f>
        <v>Apr</v>
      </c>
      <c r="F731" s="1" t="str">
        <f t="shared" si="22"/>
        <v>2022</v>
      </c>
      <c r="G731" s="1" t="str">
        <f t="shared" si="23"/>
        <v>Mon</v>
      </c>
      <c r="H731" s="7">
        <v>14028</v>
      </c>
      <c r="I731" s="6">
        <v>351</v>
      </c>
    </row>
    <row r="732" spans="1:9" x14ac:dyDescent="0.25">
      <c r="A732" t="s">
        <v>31</v>
      </c>
      <c r="B732" t="s">
        <v>15</v>
      </c>
      <c r="C732" t="s">
        <v>22</v>
      </c>
      <c r="D732" s="1">
        <v>44578</v>
      </c>
      <c r="E732" s="1" t="str">
        <f>TEXT(Sales[[#This Row],[Date]],"mmm")</f>
        <v>Jan</v>
      </c>
      <c r="F732" s="1" t="str">
        <f t="shared" si="22"/>
        <v>2022</v>
      </c>
      <c r="G732" s="1" t="str">
        <f t="shared" si="23"/>
        <v>Mon</v>
      </c>
      <c r="H732" s="7">
        <v>6678</v>
      </c>
      <c r="I732" s="6">
        <v>708</v>
      </c>
    </row>
    <row r="733" spans="1:9" x14ac:dyDescent="0.25">
      <c r="A733" t="s">
        <v>33</v>
      </c>
      <c r="B733" t="s">
        <v>21</v>
      </c>
      <c r="C733" t="s">
        <v>35</v>
      </c>
      <c r="D733" s="1">
        <v>44750</v>
      </c>
      <c r="E733" s="1" t="str">
        <f>TEXT(Sales[[#This Row],[Date]],"mmm")</f>
        <v>Jul</v>
      </c>
      <c r="F733" s="1" t="str">
        <f t="shared" si="22"/>
        <v>2022</v>
      </c>
      <c r="G733" s="1" t="str">
        <f t="shared" si="23"/>
        <v>Fri</v>
      </c>
      <c r="H733" s="7">
        <v>8624</v>
      </c>
      <c r="I733" s="6">
        <v>50</v>
      </c>
    </row>
    <row r="734" spans="1:9" x14ac:dyDescent="0.25">
      <c r="A734" t="s">
        <v>14</v>
      </c>
      <c r="B734" t="s">
        <v>7</v>
      </c>
      <c r="C734" t="s">
        <v>35</v>
      </c>
      <c r="D734" s="1">
        <v>44663</v>
      </c>
      <c r="E734" s="1" t="str">
        <f>TEXT(Sales[[#This Row],[Date]],"mmm")</f>
        <v>Apr</v>
      </c>
      <c r="F734" s="1" t="str">
        <f t="shared" si="22"/>
        <v>2022</v>
      </c>
      <c r="G734" s="1" t="str">
        <f t="shared" si="23"/>
        <v>Tue</v>
      </c>
      <c r="H734" s="7">
        <v>1197</v>
      </c>
      <c r="I734" s="6">
        <v>356</v>
      </c>
    </row>
    <row r="735" spans="1:9" x14ac:dyDescent="0.25">
      <c r="A735" t="s">
        <v>24</v>
      </c>
      <c r="B735" t="s">
        <v>29</v>
      </c>
      <c r="C735" t="s">
        <v>42</v>
      </c>
      <c r="D735" s="1">
        <v>44797</v>
      </c>
      <c r="E735" s="1" t="str">
        <f>TEXT(Sales[[#This Row],[Date]],"mmm")</f>
        <v>Aug</v>
      </c>
      <c r="F735" s="1" t="str">
        <f t="shared" si="22"/>
        <v>2022</v>
      </c>
      <c r="G735" s="1" t="str">
        <f t="shared" si="23"/>
        <v>Wed</v>
      </c>
      <c r="H735" s="7">
        <v>483</v>
      </c>
      <c r="I735" s="6">
        <v>185</v>
      </c>
    </row>
    <row r="736" spans="1:9" x14ac:dyDescent="0.25">
      <c r="A736" t="s">
        <v>55</v>
      </c>
      <c r="B736" t="s">
        <v>7</v>
      </c>
      <c r="C736" t="s">
        <v>52</v>
      </c>
      <c r="D736" s="1">
        <v>44719</v>
      </c>
      <c r="E736" s="1" t="str">
        <f>TEXT(Sales[[#This Row],[Date]],"mmm")</f>
        <v>Jun</v>
      </c>
      <c r="F736" s="1" t="str">
        <f t="shared" si="22"/>
        <v>2022</v>
      </c>
      <c r="G736" s="1" t="str">
        <f t="shared" si="23"/>
        <v>Tue</v>
      </c>
      <c r="H736" s="7">
        <v>1687</v>
      </c>
      <c r="I736" s="6">
        <v>236</v>
      </c>
    </row>
    <row r="737" spans="1:9" x14ac:dyDescent="0.25">
      <c r="A737" t="s">
        <v>19</v>
      </c>
      <c r="B737" t="s">
        <v>29</v>
      </c>
      <c r="C737" t="s">
        <v>47</v>
      </c>
      <c r="D737" s="1">
        <v>44770</v>
      </c>
      <c r="E737" s="1" t="str">
        <f>TEXT(Sales[[#This Row],[Date]],"mmm")</f>
        <v>Jul</v>
      </c>
      <c r="F737" s="1" t="str">
        <f t="shared" si="22"/>
        <v>2022</v>
      </c>
      <c r="G737" s="1" t="str">
        <f t="shared" si="23"/>
        <v>Thu</v>
      </c>
      <c r="H737" s="7">
        <v>1309</v>
      </c>
      <c r="I737" s="6">
        <v>30</v>
      </c>
    </row>
    <row r="738" spans="1:9" x14ac:dyDescent="0.25">
      <c r="A738" t="s">
        <v>40</v>
      </c>
      <c r="B738" t="s">
        <v>26</v>
      </c>
      <c r="C738" t="s">
        <v>18</v>
      </c>
      <c r="D738" s="1">
        <v>44613</v>
      </c>
      <c r="E738" s="1" t="str">
        <f>TEXT(Sales[[#This Row],[Date]],"mmm")</f>
        <v>Feb</v>
      </c>
      <c r="F738" s="1" t="str">
        <f t="shared" si="22"/>
        <v>2022</v>
      </c>
      <c r="G738" s="1" t="str">
        <f t="shared" si="23"/>
        <v>Mon</v>
      </c>
      <c r="H738" s="7">
        <v>9534</v>
      </c>
      <c r="I738" s="6">
        <v>111</v>
      </c>
    </row>
    <row r="739" spans="1:9" x14ac:dyDescent="0.25">
      <c r="A739" t="s">
        <v>43</v>
      </c>
      <c r="B739" t="s">
        <v>29</v>
      </c>
      <c r="C739" t="s">
        <v>8</v>
      </c>
      <c r="D739" s="1">
        <v>44659</v>
      </c>
      <c r="E739" s="1" t="str">
        <f>TEXT(Sales[[#This Row],[Date]],"mmm")</f>
        <v>Apr</v>
      </c>
      <c r="F739" s="1" t="str">
        <f t="shared" si="22"/>
        <v>2022</v>
      </c>
      <c r="G739" s="1" t="str">
        <f t="shared" si="23"/>
        <v>Fri</v>
      </c>
      <c r="H739" s="7">
        <v>1694</v>
      </c>
      <c r="I739" s="6">
        <v>289</v>
      </c>
    </row>
    <row r="740" spans="1:9" x14ac:dyDescent="0.25">
      <c r="A740" t="s">
        <v>23</v>
      </c>
      <c r="B740" t="s">
        <v>7</v>
      </c>
      <c r="C740" t="s">
        <v>45</v>
      </c>
      <c r="D740" s="1">
        <v>44740</v>
      </c>
      <c r="E740" s="1" t="str">
        <f>TEXT(Sales[[#This Row],[Date]],"mmm")</f>
        <v>Jun</v>
      </c>
      <c r="F740" s="1" t="str">
        <f t="shared" si="22"/>
        <v>2022</v>
      </c>
      <c r="G740" s="1" t="str">
        <f t="shared" si="23"/>
        <v>Tue</v>
      </c>
      <c r="H740" s="7">
        <v>70</v>
      </c>
      <c r="I740" s="6">
        <v>103</v>
      </c>
    </row>
    <row r="741" spans="1:9" x14ac:dyDescent="0.25">
      <c r="A741" t="s">
        <v>9</v>
      </c>
      <c r="B741" t="s">
        <v>7</v>
      </c>
      <c r="C741" t="s">
        <v>56</v>
      </c>
      <c r="D741" s="1">
        <v>44644</v>
      </c>
      <c r="E741" s="1" t="str">
        <f>TEXT(Sales[[#This Row],[Date]],"mmm")</f>
        <v>Mar</v>
      </c>
      <c r="F741" s="1" t="str">
        <f t="shared" si="22"/>
        <v>2022</v>
      </c>
      <c r="G741" s="1" t="str">
        <f t="shared" si="23"/>
        <v>Thu</v>
      </c>
      <c r="H741" s="7">
        <v>2443</v>
      </c>
      <c r="I741" s="6">
        <v>20</v>
      </c>
    </row>
    <row r="742" spans="1:9" x14ac:dyDescent="0.25">
      <c r="A742" t="s">
        <v>25</v>
      </c>
      <c r="B742" t="s">
        <v>15</v>
      </c>
      <c r="C742" t="s">
        <v>57</v>
      </c>
      <c r="D742" s="1">
        <v>44771</v>
      </c>
      <c r="E742" s="1" t="str">
        <f>TEXT(Sales[[#This Row],[Date]],"mmm")</f>
        <v>Jul</v>
      </c>
      <c r="F742" s="1" t="str">
        <f t="shared" si="22"/>
        <v>2022</v>
      </c>
      <c r="G742" s="1" t="str">
        <f t="shared" si="23"/>
        <v>Fri</v>
      </c>
      <c r="H742" s="7">
        <v>2933</v>
      </c>
      <c r="I742" s="6">
        <v>55</v>
      </c>
    </row>
    <row r="743" spans="1:9" x14ac:dyDescent="0.25">
      <c r="A743" t="s">
        <v>43</v>
      </c>
      <c r="B743" t="s">
        <v>26</v>
      </c>
      <c r="C743" t="s">
        <v>30</v>
      </c>
      <c r="D743" s="1">
        <v>44706</v>
      </c>
      <c r="E743" s="1" t="str">
        <f>TEXT(Sales[[#This Row],[Date]],"mmm")</f>
        <v>May</v>
      </c>
      <c r="F743" s="1" t="str">
        <f t="shared" si="22"/>
        <v>2022</v>
      </c>
      <c r="G743" s="1" t="str">
        <f t="shared" si="23"/>
        <v>Wed</v>
      </c>
      <c r="H743" s="7">
        <v>2044</v>
      </c>
      <c r="I743" s="6">
        <v>90</v>
      </c>
    </row>
    <row r="744" spans="1:9" x14ac:dyDescent="0.25">
      <c r="A744" t="s">
        <v>12</v>
      </c>
      <c r="B744" t="s">
        <v>15</v>
      </c>
      <c r="C744" t="s">
        <v>51</v>
      </c>
      <c r="D744" s="1">
        <v>44650</v>
      </c>
      <c r="E744" s="1" t="str">
        <f>TEXT(Sales[[#This Row],[Date]],"mmm")</f>
        <v>Mar</v>
      </c>
      <c r="F744" s="1" t="str">
        <f t="shared" si="22"/>
        <v>2022</v>
      </c>
      <c r="G744" s="1" t="str">
        <f t="shared" si="23"/>
        <v>Wed</v>
      </c>
      <c r="H744" s="7">
        <v>6524</v>
      </c>
      <c r="I744" s="6">
        <v>303</v>
      </c>
    </row>
    <row r="745" spans="1:9" x14ac:dyDescent="0.25">
      <c r="A745" t="s">
        <v>43</v>
      </c>
      <c r="B745" t="s">
        <v>26</v>
      </c>
      <c r="C745" t="s">
        <v>35</v>
      </c>
      <c r="D745" s="1">
        <v>44760</v>
      </c>
      <c r="E745" s="1" t="str">
        <f>TEXT(Sales[[#This Row],[Date]],"mmm")</f>
        <v>Jul</v>
      </c>
      <c r="F745" s="1" t="str">
        <f t="shared" si="22"/>
        <v>2022</v>
      </c>
      <c r="G745" s="1" t="str">
        <f t="shared" si="23"/>
        <v>Mon</v>
      </c>
      <c r="H745" s="7">
        <v>12656</v>
      </c>
      <c r="I745" s="6">
        <v>126</v>
      </c>
    </row>
    <row r="746" spans="1:9" x14ac:dyDescent="0.25">
      <c r="A746" t="s">
        <v>34</v>
      </c>
      <c r="B746" t="s">
        <v>29</v>
      </c>
      <c r="C746" t="s">
        <v>27</v>
      </c>
      <c r="D746" s="1">
        <v>44691</v>
      </c>
      <c r="E746" s="1" t="str">
        <f>TEXT(Sales[[#This Row],[Date]],"mmm")</f>
        <v>May</v>
      </c>
      <c r="F746" s="1" t="str">
        <f t="shared" si="22"/>
        <v>2022</v>
      </c>
      <c r="G746" s="1" t="str">
        <f t="shared" si="23"/>
        <v>Tue</v>
      </c>
      <c r="H746" s="7">
        <v>8722</v>
      </c>
      <c r="I746" s="6">
        <v>109</v>
      </c>
    </row>
    <row r="747" spans="1:9" x14ac:dyDescent="0.25">
      <c r="A747" t="s">
        <v>28</v>
      </c>
      <c r="B747" t="s">
        <v>15</v>
      </c>
      <c r="C747" t="s">
        <v>52</v>
      </c>
      <c r="D747" s="1">
        <v>44638</v>
      </c>
      <c r="E747" s="1" t="str">
        <f>TEXT(Sales[[#This Row],[Date]],"mmm")</f>
        <v>Mar</v>
      </c>
      <c r="F747" s="1" t="str">
        <f t="shared" si="22"/>
        <v>2022</v>
      </c>
      <c r="G747" s="1" t="str">
        <f t="shared" si="23"/>
        <v>Fri</v>
      </c>
      <c r="H747" s="7">
        <v>15750</v>
      </c>
      <c r="I747" s="6">
        <v>92</v>
      </c>
    </row>
    <row r="748" spans="1:9" x14ac:dyDescent="0.25">
      <c r="A748" t="s">
        <v>55</v>
      </c>
      <c r="B748" t="s">
        <v>10</v>
      </c>
      <c r="C748" t="s">
        <v>57</v>
      </c>
      <c r="D748" s="1">
        <v>44727</v>
      </c>
      <c r="E748" s="1" t="str">
        <f>TEXT(Sales[[#This Row],[Date]],"mmm")</f>
        <v>Jun</v>
      </c>
      <c r="F748" s="1" t="str">
        <f t="shared" si="22"/>
        <v>2022</v>
      </c>
      <c r="G748" s="1" t="str">
        <f t="shared" si="23"/>
        <v>Wed</v>
      </c>
      <c r="H748" s="7">
        <v>6839</v>
      </c>
      <c r="I748" s="6">
        <v>56</v>
      </c>
    </row>
    <row r="749" spans="1:9" x14ac:dyDescent="0.25">
      <c r="A749" t="s">
        <v>9</v>
      </c>
      <c r="B749" t="s">
        <v>29</v>
      </c>
      <c r="C749" t="s">
        <v>22</v>
      </c>
      <c r="D749" s="1">
        <v>44693</v>
      </c>
      <c r="E749" s="1" t="str">
        <f>TEXT(Sales[[#This Row],[Date]],"mmm")</f>
        <v>May</v>
      </c>
      <c r="F749" s="1" t="str">
        <f t="shared" si="22"/>
        <v>2022</v>
      </c>
      <c r="G749" s="1" t="str">
        <f t="shared" si="23"/>
        <v>Thu</v>
      </c>
      <c r="H749" s="7">
        <v>13685</v>
      </c>
      <c r="I749" s="6">
        <v>58</v>
      </c>
    </row>
    <row r="750" spans="1:9" x14ac:dyDescent="0.25">
      <c r="A750" t="s">
        <v>49</v>
      </c>
      <c r="B750" t="s">
        <v>21</v>
      </c>
      <c r="C750" t="s">
        <v>56</v>
      </c>
      <c r="D750" s="1">
        <v>44735</v>
      </c>
      <c r="E750" s="1" t="str">
        <f>TEXT(Sales[[#This Row],[Date]],"mmm")</f>
        <v>Jun</v>
      </c>
      <c r="F750" s="1" t="str">
        <f t="shared" si="22"/>
        <v>2022</v>
      </c>
      <c r="G750" s="1" t="str">
        <f t="shared" si="23"/>
        <v>Thu</v>
      </c>
      <c r="H750" s="7">
        <v>2912</v>
      </c>
      <c r="I750" s="6">
        <v>110</v>
      </c>
    </row>
    <row r="751" spans="1:9" x14ac:dyDescent="0.25">
      <c r="A751" t="s">
        <v>34</v>
      </c>
      <c r="B751" t="s">
        <v>10</v>
      </c>
      <c r="C751" t="s">
        <v>39</v>
      </c>
      <c r="D751" s="1">
        <v>44672</v>
      </c>
      <c r="E751" s="1" t="str">
        <f>TEXT(Sales[[#This Row],[Date]],"mmm")</f>
        <v>Apr</v>
      </c>
      <c r="F751" s="1" t="str">
        <f t="shared" si="22"/>
        <v>2022</v>
      </c>
      <c r="G751" s="1" t="str">
        <f t="shared" si="23"/>
        <v>Thu</v>
      </c>
      <c r="H751" s="7">
        <v>3339</v>
      </c>
      <c r="I751" s="6">
        <v>171</v>
      </c>
    </row>
    <row r="752" spans="1:9" x14ac:dyDescent="0.25">
      <c r="A752" t="s">
        <v>12</v>
      </c>
      <c r="B752" t="s">
        <v>15</v>
      </c>
      <c r="C752" t="s">
        <v>47</v>
      </c>
      <c r="D752" s="1">
        <v>44790</v>
      </c>
      <c r="E752" s="1" t="str">
        <f>TEXT(Sales[[#This Row],[Date]],"mmm")</f>
        <v>Aug</v>
      </c>
      <c r="F752" s="1" t="str">
        <f t="shared" si="22"/>
        <v>2022</v>
      </c>
      <c r="G752" s="1" t="str">
        <f t="shared" si="23"/>
        <v>Wed</v>
      </c>
      <c r="H752" s="7">
        <v>910</v>
      </c>
      <c r="I752" s="6">
        <v>117</v>
      </c>
    </row>
    <row r="753" spans="1:9" x14ac:dyDescent="0.25">
      <c r="A753" t="s">
        <v>24</v>
      </c>
      <c r="B753" t="s">
        <v>21</v>
      </c>
      <c r="C753" t="s">
        <v>30</v>
      </c>
      <c r="D753" s="1">
        <v>44599</v>
      </c>
      <c r="E753" s="1" t="str">
        <f>TEXT(Sales[[#This Row],[Date]],"mmm")</f>
        <v>Feb</v>
      </c>
      <c r="F753" s="1" t="str">
        <f t="shared" si="22"/>
        <v>2022</v>
      </c>
      <c r="G753" s="1" t="str">
        <f t="shared" si="23"/>
        <v>Mon</v>
      </c>
      <c r="H753" s="7">
        <v>19481</v>
      </c>
      <c r="I753" s="6">
        <v>51</v>
      </c>
    </row>
    <row r="754" spans="1:9" x14ac:dyDescent="0.25">
      <c r="A754" t="s">
        <v>49</v>
      </c>
      <c r="B754" t="s">
        <v>29</v>
      </c>
      <c r="C754" t="s">
        <v>16</v>
      </c>
      <c r="D754" s="1">
        <v>44637</v>
      </c>
      <c r="E754" s="1" t="str">
        <f>TEXT(Sales[[#This Row],[Date]],"mmm")</f>
        <v>Mar</v>
      </c>
      <c r="F754" s="1" t="str">
        <f t="shared" si="22"/>
        <v>2022</v>
      </c>
      <c r="G754" s="1" t="str">
        <f t="shared" si="23"/>
        <v>Thu</v>
      </c>
      <c r="H754" s="7">
        <v>8099</v>
      </c>
      <c r="I754" s="6">
        <v>118</v>
      </c>
    </row>
    <row r="755" spans="1:9" x14ac:dyDescent="0.25">
      <c r="A755" t="s">
        <v>14</v>
      </c>
      <c r="B755" t="s">
        <v>10</v>
      </c>
      <c r="C755" t="s">
        <v>56</v>
      </c>
      <c r="D755" s="1">
        <v>44774</v>
      </c>
      <c r="E755" s="1" t="str">
        <f>TEXT(Sales[[#This Row],[Date]],"mmm")</f>
        <v>Aug</v>
      </c>
      <c r="F755" s="1" t="str">
        <f t="shared" si="22"/>
        <v>2022</v>
      </c>
      <c r="G755" s="1" t="str">
        <f t="shared" si="23"/>
        <v>Mon</v>
      </c>
      <c r="H755" s="7">
        <v>13727</v>
      </c>
      <c r="I755" s="6">
        <v>79</v>
      </c>
    </row>
    <row r="756" spans="1:9" x14ac:dyDescent="0.25">
      <c r="A756" t="s">
        <v>6</v>
      </c>
      <c r="B756" t="s">
        <v>15</v>
      </c>
      <c r="C756" t="s">
        <v>37</v>
      </c>
      <c r="D756" s="1">
        <v>44638</v>
      </c>
      <c r="E756" s="1" t="str">
        <f>TEXT(Sales[[#This Row],[Date]],"mmm")</f>
        <v>Mar</v>
      </c>
      <c r="F756" s="1" t="str">
        <f t="shared" si="22"/>
        <v>2022</v>
      </c>
      <c r="G756" s="1" t="str">
        <f t="shared" si="23"/>
        <v>Fri</v>
      </c>
      <c r="H756" s="7">
        <v>8659</v>
      </c>
      <c r="I756" s="6">
        <v>29</v>
      </c>
    </row>
    <row r="757" spans="1:9" x14ac:dyDescent="0.25">
      <c r="A757" t="s">
        <v>12</v>
      </c>
      <c r="B757" t="s">
        <v>29</v>
      </c>
      <c r="C757" t="s">
        <v>42</v>
      </c>
      <c r="D757" s="1">
        <v>44726</v>
      </c>
      <c r="E757" s="1" t="str">
        <f>TEXT(Sales[[#This Row],[Date]],"mmm")</f>
        <v>Jun</v>
      </c>
      <c r="F757" s="1" t="str">
        <f t="shared" si="22"/>
        <v>2022</v>
      </c>
      <c r="G757" s="1" t="str">
        <f t="shared" si="23"/>
        <v>Tue</v>
      </c>
      <c r="H757" s="7">
        <v>5782</v>
      </c>
      <c r="I757" s="6">
        <v>103</v>
      </c>
    </row>
    <row r="758" spans="1:9" x14ac:dyDescent="0.25">
      <c r="A758" t="s">
        <v>34</v>
      </c>
      <c r="B758" t="s">
        <v>7</v>
      </c>
      <c r="C758" t="s">
        <v>30</v>
      </c>
      <c r="D758" s="1">
        <v>44673</v>
      </c>
      <c r="E758" s="1" t="str">
        <f>TEXT(Sales[[#This Row],[Date]],"mmm")</f>
        <v>Apr</v>
      </c>
      <c r="F758" s="1" t="str">
        <f t="shared" si="22"/>
        <v>2022</v>
      </c>
      <c r="G758" s="1" t="str">
        <f t="shared" si="23"/>
        <v>Fri</v>
      </c>
      <c r="H758" s="7">
        <v>8463</v>
      </c>
      <c r="I758" s="6">
        <v>155</v>
      </c>
    </row>
    <row r="759" spans="1:9" x14ac:dyDescent="0.25">
      <c r="A759" t="s">
        <v>33</v>
      </c>
      <c r="B759" t="s">
        <v>21</v>
      </c>
      <c r="C759" t="s">
        <v>30</v>
      </c>
      <c r="D759" s="1">
        <v>44579</v>
      </c>
      <c r="E759" s="1" t="str">
        <f>TEXT(Sales[[#This Row],[Date]],"mmm")</f>
        <v>Jan</v>
      </c>
      <c r="F759" s="1" t="str">
        <f t="shared" si="22"/>
        <v>2022</v>
      </c>
      <c r="G759" s="1" t="str">
        <f t="shared" si="23"/>
        <v>Tue</v>
      </c>
      <c r="H759" s="7">
        <v>4914</v>
      </c>
      <c r="I759" s="6">
        <v>31</v>
      </c>
    </row>
    <row r="760" spans="1:9" x14ac:dyDescent="0.25">
      <c r="A760" t="s">
        <v>40</v>
      </c>
      <c r="B760" t="s">
        <v>15</v>
      </c>
      <c r="C760" t="s">
        <v>18</v>
      </c>
      <c r="D760" s="1">
        <v>44799</v>
      </c>
      <c r="E760" s="1" t="str">
        <f>TEXT(Sales[[#This Row],[Date]],"mmm")</f>
        <v>Aug</v>
      </c>
      <c r="F760" s="1" t="str">
        <f t="shared" si="22"/>
        <v>2022</v>
      </c>
      <c r="G760" s="1" t="str">
        <f t="shared" si="23"/>
        <v>Fri</v>
      </c>
      <c r="H760" s="7">
        <v>3087</v>
      </c>
      <c r="I760" s="6">
        <v>128</v>
      </c>
    </row>
    <row r="761" spans="1:9" x14ac:dyDescent="0.25">
      <c r="A761" t="s">
        <v>19</v>
      </c>
      <c r="B761" t="s">
        <v>21</v>
      </c>
      <c r="C761" t="s">
        <v>42</v>
      </c>
      <c r="D761" s="1">
        <v>44722</v>
      </c>
      <c r="E761" s="1" t="str">
        <f>TEXT(Sales[[#This Row],[Date]],"mmm")</f>
        <v>Jun</v>
      </c>
      <c r="F761" s="1" t="str">
        <f t="shared" si="22"/>
        <v>2022</v>
      </c>
      <c r="G761" s="1" t="str">
        <f t="shared" si="23"/>
        <v>Fri</v>
      </c>
      <c r="H761" s="7">
        <v>9205</v>
      </c>
      <c r="I761" s="6">
        <v>419</v>
      </c>
    </row>
    <row r="762" spans="1:9" x14ac:dyDescent="0.25">
      <c r="A762" t="s">
        <v>38</v>
      </c>
      <c r="B762" t="s">
        <v>29</v>
      </c>
      <c r="C762" t="s">
        <v>58</v>
      </c>
      <c r="D762" s="1">
        <v>44592</v>
      </c>
      <c r="E762" s="1" t="str">
        <f>TEXT(Sales[[#This Row],[Date]],"mmm")</f>
        <v>Jan</v>
      </c>
      <c r="F762" s="1" t="str">
        <f t="shared" si="22"/>
        <v>2022</v>
      </c>
      <c r="G762" s="1" t="str">
        <f t="shared" si="23"/>
        <v>Mon</v>
      </c>
      <c r="H762" s="7">
        <v>2303</v>
      </c>
      <c r="I762" s="6">
        <v>7</v>
      </c>
    </row>
    <row r="763" spans="1:9" x14ac:dyDescent="0.25">
      <c r="A763" t="s">
        <v>49</v>
      </c>
      <c r="B763" t="s">
        <v>21</v>
      </c>
      <c r="C763" t="s">
        <v>45</v>
      </c>
      <c r="D763" s="1">
        <v>44659</v>
      </c>
      <c r="E763" s="1" t="str">
        <f>TEXT(Sales[[#This Row],[Date]],"mmm")</f>
        <v>Apr</v>
      </c>
      <c r="F763" s="1" t="str">
        <f t="shared" si="22"/>
        <v>2022</v>
      </c>
      <c r="G763" s="1" t="str">
        <f t="shared" si="23"/>
        <v>Fri</v>
      </c>
      <c r="H763" s="7">
        <v>1358</v>
      </c>
      <c r="I763" s="6">
        <v>106</v>
      </c>
    </row>
    <row r="764" spans="1:9" x14ac:dyDescent="0.25">
      <c r="A764" t="s">
        <v>54</v>
      </c>
      <c r="B764" t="s">
        <v>15</v>
      </c>
      <c r="C764" t="s">
        <v>56</v>
      </c>
      <c r="D764" s="1">
        <v>44719</v>
      </c>
      <c r="E764" s="1" t="str">
        <f>TEXT(Sales[[#This Row],[Date]],"mmm")</f>
        <v>Jun</v>
      </c>
      <c r="F764" s="1" t="str">
        <f t="shared" si="22"/>
        <v>2022</v>
      </c>
      <c r="G764" s="1" t="str">
        <f t="shared" si="23"/>
        <v>Tue</v>
      </c>
      <c r="H764" s="7">
        <v>3605</v>
      </c>
      <c r="I764" s="6">
        <v>68</v>
      </c>
    </row>
    <row r="765" spans="1:9" x14ac:dyDescent="0.25">
      <c r="A765" t="s">
        <v>25</v>
      </c>
      <c r="B765" t="s">
        <v>15</v>
      </c>
      <c r="C765" t="s">
        <v>11</v>
      </c>
      <c r="D765" s="1">
        <v>44602</v>
      </c>
      <c r="E765" s="1" t="str">
        <f>TEXT(Sales[[#This Row],[Date]],"mmm")</f>
        <v>Feb</v>
      </c>
      <c r="F765" s="1" t="str">
        <f t="shared" si="22"/>
        <v>2022</v>
      </c>
      <c r="G765" s="1" t="str">
        <f t="shared" si="23"/>
        <v>Thu</v>
      </c>
      <c r="H765" s="7">
        <v>8498</v>
      </c>
      <c r="I765" s="6">
        <v>44</v>
      </c>
    </row>
    <row r="766" spans="1:9" x14ac:dyDescent="0.25">
      <c r="A766" t="s">
        <v>34</v>
      </c>
      <c r="B766" t="s">
        <v>15</v>
      </c>
      <c r="C766" t="s">
        <v>22</v>
      </c>
      <c r="D766" s="1">
        <v>44697</v>
      </c>
      <c r="E766" s="1" t="str">
        <f>TEXT(Sales[[#This Row],[Date]],"mmm")</f>
        <v>May</v>
      </c>
      <c r="F766" s="1" t="str">
        <f t="shared" si="22"/>
        <v>2022</v>
      </c>
      <c r="G766" s="1" t="str">
        <f t="shared" si="23"/>
        <v>Mon</v>
      </c>
      <c r="H766" s="7">
        <v>700</v>
      </c>
      <c r="I766" s="6">
        <v>457</v>
      </c>
    </row>
    <row r="767" spans="1:9" x14ac:dyDescent="0.25">
      <c r="A767" t="s">
        <v>19</v>
      </c>
      <c r="B767" t="s">
        <v>10</v>
      </c>
      <c r="C767" t="s">
        <v>56</v>
      </c>
      <c r="D767" s="1">
        <v>44638</v>
      </c>
      <c r="E767" s="1" t="str">
        <f>TEXT(Sales[[#This Row],[Date]],"mmm")</f>
        <v>Mar</v>
      </c>
      <c r="F767" s="1" t="str">
        <f t="shared" si="22"/>
        <v>2022</v>
      </c>
      <c r="G767" s="1" t="str">
        <f t="shared" si="23"/>
        <v>Fri</v>
      </c>
      <c r="H767" s="7">
        <v>2191</v>
      </c>
      <c r="I767" s="6">
        <v>524</v>
      </c>
    </row>
    <row r="768" spans="1:9" x14ac:dyDescent="0.25">
      <c r="A768" t="s">
        <v>9</v>
      </c>
      <c r="B768" t="s">
        <v>15</v>
      </c>
      <c r="C768" t="s">
        <v>22</v>
      </c>
      <c r="D768" s="1">
        <v>44755</v>
      </c>
      <c r="E768" s="1" t="str">
        <f>TEXT(Sales[[#This Row],[Date]],"mmm")</f>
        <v>Jul</v>
      </c>
      <c r="F768" s="1" t="str">
        <f t="shared" si="22"/>
        <v>2022</v>
      </c>
      <c r="G768" s="1" t="str">
        <f t="shared" si="23"/>
        <v>Wed</v>
      </c>
      <c r="H768" s="7">
        <v>644</v>
      </c>
      <c r="I768" s="6">
        <v>137</v>
      </c>
    </row>
    <row r="769" spans="1:9" x14ac:dyDescent="0.25">
      <c r="A769" t="s">
        <v>17</v>
      </c>
      <c r="B769" t="s">
        <v>26</v>
      </c>
      <c r="C769" t="s">
        <v>45</v>
      </c>
      <c r="D769" s="1">
        <v>44767</v>
      </c>
      <c r="E769" s="1" t="str">
        <f>TEXT(Sales[[#This Row],[Date]],"mmm")</f>
        <v>Jul</v>
      </c>
      <c r="F769" s="1" t="str">
        <f t="shared" si="22"/>
        <v>2022</v>
      </c>
      <c r="G769" s="1" t="str">
        <f t="shared" si="23"/>
        <v>Mon</v>
      </c>
      <c r="H769" s="7">
        <v>4340</v>
      </c>
      <c r="I769" s="6">
        <v>86</v>
      </c>
    </row>
    <row r="770" spans="1:9" x14ac:dyDescent="0.25">
      <c r="A770" t="s">
        <v>9</v>
      </c>
      <c r="B770" t="s">
        <v>29</v>
      </c>
      <c r="C770" t="s">
        <v>52</v>
      </c>
      <c r="D770" s="1">
        <v>44792</v>
      </c>
      <c r="E770" s="1" t="str">
        <f>TEXT(Sales[[#This Row],[Date]],"mmm")</f>
        <v>Aug</v>
      </c>
      <c r="F770" s="1" t="str">
        <f t="shared" ref="F770:F833" si="24">TEXT(D:D,"yyyy")</f>
        <v>2022</v>
      </c>
      <c r="G770" s="1" t="str">
        <f t="shared" ref="G770:G833" si="25">TEXT(D:D,"ddd")</f>
        <v>Fri</v>
      </c>
      <c r="H770" s="7">
        <v>2282</v>
      </c>
      <c r="I770" s="6">
        <v>296</v>
      </c>
    </row>
    <row r="771" spans="1:9" x14ac:dyDescent="0.25">
      <c r="A771" t="s">
        <v>31</v>
      </c>
      <c r="B771" t="s">
        <v>29</v>
      </c>
      <c r="C771" t="s">
        <v>58</v>
      </c>
      <c r="D771" s="1">
        <v>44736</v>
      </c>
      <c r="E771" s="1" t="str">
        <f>TEXT(Sales[[#This Row],[Date]],"mmm")</f>
        <v>Jun</v>
      </c>
      <c r="F771" s="1" t="str">
        <f t="shared" si="24"/>
        <v>2022</v>
      </c>
      <c r="G771" s="1" t="str">
        <f t="shared" si="25"/>
        <v>Fri</v>
      </c>
      <c r="H771" s="7">
        <v>7714</v>
      </c>
      <c r="I771" s="6">
        <v>597</v>
      </c>
    </row>
    <row r="772" spans="1:9" x14ac:dyDescent="0.25">
      <c r="A772" t="s">
        <v>49</v>
      </c>
      <c r="B772" t="s">
        <v>29</v>
      </c>
      <c r="C772" t="s">
        <v>42</v>
      </c>
      <c r="D772" s="1">
        <v>44732</v>
      </c>
      <c r="E772" s="1" t="str">
        <f>TEXT(Sales[[#This Row],[Date]],"mmm")</f>
        <v>Jun</v>
      </c>
      <c r="F772" s="1" t="str">
        <f t="shared" si="24"/>
        <v>2022</v>
      </c>
      <c r="G772" s="1" t="str">
        <f t="shared" si="25"/>
        <v>Mon</v>
      </c>
      <c r="H772" s="7">
        <v>826</v>
      </c>
      <c r="I772" s="6">
        <v>149</v>
      </c>
    </row>
    <row r="773" spans="1:9" x14ac:dyDescent="0.25">
      <c r="A773" t="s">
        <v>50</v>
      </c>
      <c r="B773" t="s">
        <v>10</v>
      </c>
      <c r="C773" t="s">
        <v>18</v>
      </c>
      <c r="D773" s="1">
        <v>44775</v>
      </c>
      <c r="E773" s="1" t="str">
        <f>TEXT(Sales[[#This Row],[Date]],"mmm")</f>
        <v>Aug</v>
      </c>
      <c r="F773" s="1" t="str">
        <f t="shared" si="24"/>
        <v>2022</v>
      </c>
      <c r="G773" s="1" t="str">
        <f t="shared" si="25"/>
        <v>Tue</v>
      </c>
      <c r="H773" s="7">
        <v>203</v>
      </c>
      <c r="I773" s="6">
        <v>207</v>
      </c>
    </row>
    <row r="774" spans="1:9" x14ac:dyDescent="0.25">
      <c r="A774" t="s">
        <v>53</v>
      </c>
      <c r="B774" t="s">
        <v>21</v>
      </c>
      <c r="C774" t="s">
        <v>58</v>
      </c>
      <c r="D774" s="1">
        <v>44614</v>
      </c>
      <c r="E774" s="1" t="str">
        <f>TEXT(Sales[[#This Row],[Date]],"mmm")</f>
        <v>Feb</v>
      </c>
      <c r="F774" s="1" t="str">
        <f t="shared" si="24"/>
        <v>2022</v>
      </c>
      <c r="G774" s="1" t="str">
        <f t="shared" si="25"/>
        <v>Tue</v>
      </c>
      <c r="H774" s="7">
        <v>13356</v>
      </c>
      <c r="I774" s="6">
        <v>93</v>
      </c>
    </row>
    <row r="775" spans="1:9" x14ac:dyDescent="0.25">
      <c r="A775" t="s">
        <v>28</v>
      </c>
      <c r="B775" t="s">
        <v>21</v>
      </c>
      <c r="C775" t="s">
        <v>27</v>
      </c>
      <c r="D775" s="1">
        <v>44593</v>
      </c>
      <c r="E775" s="1" t="str">
        <f>TEXT(Sales[[#This Row],[Date]],"mmm")</f>
        <v>Feb</v>
      </c>
      <c r="F775" s="1" t="str">
        <f t="shared" si="24"/>
        <v>2022</v>
      </c>
      <c r="G775" s="1" t="str">
        <f t="shared" si="25"/>
        <v>Tue</v>
      </c>
      <c r="H775" s="7">
        <v>6510</v>
      </c>
      <c r="I775" s="6">
        <v>23</v>
      </c>
    </row>
    <row r="776" spans="1:9" x14ac:dyDescent="0.25">
      <c r="A776" t="s">
        <v>14</v>
      </c>
      <c r="B776" t="s">
        <v>29</v>
      </c>
      <c r="C776" t="s">
        <v>58</v>
      </c>
      <c r="D776" s="1">
        <v>44606</v>
      </c>
      <c r="E776" s="1" t="str">
        <f>TEXT(Sales[[#This Row],[Date]],"mmm")</f>
        <v>Feb</v>
      </c>
      <c r="F776" s="1" t="str">
        <f t="shared" si="24"/>
        <v>2022</v>
      </c>
      <c r="G776" s="1" t="str">
        <f t="shared" si="25"/>
        <v>Mon</v>
      </c>
      <c r="H776" s="7">
        <v>5894</v>
      </c>
      <c r="I776" s="6">
        <v>305</v>
      </c>
    </row>
    <row r="777" spans="1:9" x14ac:dyDescent="0.25">
      <c r="A777" t="s">
        <v>49</v>
      </c>
      <c r="B777" t="s">
        <v>15</v>
      </c>
      <c r="C777" t="s">
        <v>37</v>
      </c>
      <c r="D777" s="1">
        <v>44616</v>
      </c>
      <c r="E777" s="1" t="str">
        <f>TEXT(Sales[[#This Row],[Date]],"mmm")</f>
        <v>Feb</v>
      </c>
      <c r="F777" s="1" t="str">
        <f t="shared" si="24"/>
        <v>2022</v>
      </c>
      <c r="G777" s="1" t="str">
        <f t="shared" si="25"/>
        <v>Thu</v>
      </c>
      <c r="H777" s="7">
        <v>7910</v>
      </c>
      <c r="I777" s="6">
        <v>125</v>
      </c>
    </row>
    <row r="778" spans="1:9" x14ac:dyDescent="0.25">
      <c r="A778" t="s">
        <v>43</v>
      </c>
      <c r="B778" t="s">
        <v>10</v>
      </c>
      <c r="C778" t="s">
        <v>27</v>
      </c>
      <c r="D778" s="1">
        <v>44638</v>
      </c>
      <c r="E778" s="1" t="str">
        <f>TEXT(Sales[[#This Row],[Date]],"mmm")</f>
        <v>Mar</v>
      </c>
      <c r="F778" s="1" t="str">
        <f t="shared" si="24"/>
        <v>2022</v>
      </c>
      <c r="G778" s="1" t="str">
        <f t="shared" si="25"/>
        <v>Fri</v>
      </c>
      <c r="H778" s="7">
        <v>784</v>
      </c>
      <c r="I778" s="6">
        <v>129</v>
      </c>
    </row>
    <row r="779" spans="1:9" x14ac:dyDescent="0.25">
      <c r="A779" t="s">
        <v>40</v>
      </c>
      <c r="B779" t="s">
        <v>7</v>
      </c>
      <c r="C779" t="s">
        <v>30</v>
      </c>
      <c r="D779" s="1">
        <v>44803</v>
      </c>
      <c r="E779" s="1" t="str">
        <f>TEXT(Sales[[#This Row],[Date]],"mmm")</f>
        <v>Aug</v>
      </c>
      <c r="F779" s="1" t="str">
        <f t="shared" si="24"/>
        <v>2022</v>
      </c>
      <c r="G779" s="1" t="str">
        <f t="shared" si="25"/>
        <v>Tue</v>
      </c>
      <c r="H779" s="7">
        <v>1750</v>
      </c>
      <c r="I779" s="6">
        <v>252</v>
      </c>
    </row>
    <row r="780" spans="1:9" x14ac:dyDescent="0.25">
      <c r="A780" t="s">
        <v>12</v>
      </c>
      <c r="B780" t="s">
        <v>26</v>
      </c>
      <c r="C780" t="s">
        <v>13</v>
      </c>
      <c r="D780" s="1">
        <v>44690</v>
      </c>
      <c r="E780" s="1" t="str">
        <f>TEXT(Sales[[#This Row],[Date]],"mmm")</f>
        <v>May</v>
      </c>
      <c r="F780" s="1" t="str">
        <f t="shared" si="24"/>
        <v>2022</v>
      </c>
      <c r="G780" s="1" t="str">
        <f t="shared" si="25"/>
        <v>Mon</v>
      </c>
      <c r="H780" s="7">
        <v>280</v>
      </c>
      <c r="I780" s="6">
        <v>75</v>
      </c>
    </row>
    <row r="781" spans="1:9" x14ac:dyDescent="0.25">
      <c r="A781" t="s">
        <v>46</v>
      </c>
      <c r="B781" t="s">
        <v>26</v>
      </c>
      <c r="C781" t="s">
        <v>16</v>
      </c>
      <c r="D781" s="1">
        <v>44579</v>
      </c>
      <c r="E781" s="1" t="str">
        <f>TEXT(Sales[[#This Row],[Date]],"mmm")</f>
        <v>Jan</v>
      </c>
      <c r="F781" s="1" t="str">
        <f t="shared" si="24"/>
        <v>2022</v>
      </c>
      <c r="G781" s="1" t="str">
        <f t="shared" si="25"/>
        <v>Tue</v>
      </c>
      <c r="H781" s="7">
        <v>504</v>
      </c>
      <c r="I781" s="6">
        <v>87</v>
      </c>
    </row>
    <row r="782" spans="1:9" x14ac:dyDescent="0.25">
      <c r="A782" t="s">
        <v>38</v>
      </c>
      <c r="B782" t="s">
        <v>10</v>
      </c>
      <c r="C782" t="s">
        <v>44</v>
      </c>
      <c r="D782" s="1">
        <v>44746</v>
      </c>
      <c r="E782" s="1" t="str">
        <f>TEXT(Sales[[#This Row],[Date]],"mmm")</f>
        <v>Jul</v>
      </c>
      <c r="F782" s="1" t="str">
        <f t="shared" si="24"/>
        <v>2022</v>
      </c>
      <c r="G782" s="1" t="str">
        <f t="shared" si="25"/>
        <v>Mon</v>
      </c>
      <c r="H782" s="7">
        <v>7154</v>
      </c>
      <c r="I782" s="6">
        <v>342</v>
      </c>
    </row>
    <row r="783" spans="1:9" x14ac:dyDescent="0.25">
      <c r="A783" t="s">
        <v>17</v>
      </c>
      <c r="B783" t="s">
        <v>21</v>
      </c>
      <c r="C783" t="s">
        <v>39</v>
      </c>
      <c r="D783" s="1">
        <v>44715</v>
      </c>
      <c r="E783" s="1" t="str">
        <f>TEXT(Sales[[#This Row],[Date]],"mmm")</f>
        <v>Jun</v>
      </c>
      <c r="F783" s="1" t="str">
        <f t="shared" si="24"/>
        <v>2022</v>
      </c>
      <c r="G783" s="1" t="str">
        <f t="shared" si="25"/>
        <v>Fri</v>
      </c>
      <c r="H783" s="7">
        <v>1617</v>
      </c>
      <c r="I783" s="6">
        <v>13</v>
      </c>
    </row>
    <row r="784" spans="1:9" x14ac:dyDescent="0.25">
      <c r="A784" t="s">
        <v>34</v>
      </c>
      <c r="B784" t="s">
        <v>21</v>
      </c>
      <c r="C784" t="s">
        <v>13</v>
      </c>
      <c r="D784" s="1">
        <v>44615</v>
      </c>
      <c r="E784" s="1" t="str">
        <f>TEXT(Sales[[#This Row],[Date]],"mmm")</f>
        <v>Feb</v>
      </c>
      <c r="F784" s="1" t="str">
        <f t="shared" si="24"/>
        <v>2022</v>
      </c>
      <c r="G784" s="1" t="str">
        <f t="shared" si="25"/>
        <v>Wed</v>
      </c>
      <c r="H784" s="7">
        <v>10822</v>
      </c>
      <c r="I784" s="6">
        <v>30</v>
      </c>
    </row>
    <row r="785" spans="1:9" x14ac:dyDescent="0.25">
      <c r="A785" t="s">
        <v>54</v>
      </c>
      <c r="B785" t="s">
        <v>21</v>
      </c>
      <c r="C785" t="s">
        <v>18</v>
      </c>
      <c r="D785" s="1">
        <v>44690</v>
      </c>
      <c r="E785" s="1" t="str">
        <f>TEXT(Sales[[#This Row],[Date]],"mmm")</f>
        <v>May</v>
      </c>
      <c r="F785" s="1" t="str">
        <f t="shared" si="24"/>
        <v>2022</v>
      </c>
      <c r="G785" s="1" t="str">
        <f t="shared" si="25"/>
        <v>Mon</v>
      </c>
      <c r="H785" s="7">
        <v>10724</v>
      </c>
      <c r="I785" s="6">
        <v>203</v>
      </c>
    </row>
    <row r="786" spans="1:9" x14ac:dyDescent="0.25">
      <c r="A786" t="s">
        <v>49</v>
      </c>
      <c r="B786" t="s">
        <v>10</v>
      </c>
      <c r="C786" t="s">
        <v>58</v>
      </c>
      <c r="D786" s="1">
        <v>44718</v>
      </c>
      <c r="E786" s="1" t="str">
        <f>TEXT(Sales[[#This Row],[Date]],"mmm")</f>
        <v>Jun</v>
      </c>
      <c r="F786" s="1" t="str">
        <f t="shared" si="24"/>
        <v>2022</v>
      </c>
      <c r="G786" s="1" t="str">
        <f t="shared" si="25"/>
        <v>Mon</v>
      </c>
      <c r="H786" s="7">
        <v>3640</v>
      </c>
      <c r="I786" s="6">
        <v>106</v>
      </c>
    </row>
    <row r="787" spans="1:9" x14ac:dyDescent="0.25">
      <c r="A787" t="s">
        <v>49</v>
      </c>
      <c r="B787" t="s">
        <v>10</v>
      </c>
      <c r="C787" t="s">
        <v>32</v>
      </c>
      <c r="D787" s="1">
        <v>44746</v>
      </c>
      <c r="E787" s="1" t="str">
        <f>TEXT(Sales[[#This Row],[Date]],"mmm")</f>
        <v>Jul</v>
      </c>
      <c r="F787" s="1" t="str">
        <f t="shared" si="24"/>
        <v>2022</v>
      </c>
      <c r="G787" s="1" t="str">
        <f t="shared" si="25"/>
        <v>Mon</v>
      </c>
      <c r="H787" s="7">
        <v>7532</v>
      </c>
      <c r="I787" s="6">
        <v>234</v>
      </c>
    </row>
    <row r="788" spans="1:9" x14ac:dyDescent="0.25">
      <c r="A788" t="s">
        <v>23</v>
      </c>
      <c r="B788" t="s">
        <v>21</v>
      </c>
      <c r="C788" t="s">
        <v>32</v>
      </c>
      <c r="D788" s="1">
        <v>44718</v>
      </c>
      <c r="E788" s="1" t="str">
        <f>TEXT(Sales[[#This Row],[Date]],"mmm")</f>
        <v>Jun</v>
      </c>
      <c r="F788" s="1" t="str">
        <f t="shared" si="24"/>
        <v>2022</v>
      </c>
      <c r="G788" s="1" t="str">
        <f t="shared" si="25"/>
        <v>Mon</v>
      </c>
      <c r="H788" s="7">
        <v>1582</v>
      </c>
      <c r="I788" s="6">
        <v>100</v>
      </c>
    </row>
    <row r="789" spans="1:9" x14ac:dyDescent="0.25">
      <c r="A789" t="s">
        <v>54</v>
      </c>
      <c r="B789" t="s">
        <v>15</v>
      </c>
      <c r="C789" t="s">
        <v>47</v>
      </c>
      <c r="D789" s="1">
        <v>44694</v>
      </c>
      <c r="E789" s="1" t="str">
        <f>TEXT(Sales[[#This Row],[Date]],"mmm")</f>
        <v>May</v>
      </c>
      <c r="F789" s="1" t="str">
        <f t="shared" si="24"/>
        <v>2022</v>
      </c>
      <c r="G789" s="1" t="str">
        <f t="shared" si="25"/>
        <v>Fri</v>
      </c>
      <c r="H789" s="7">
        <v>1456</v>
      </c>
      <c r="I789" s="6">
        <v>91</v>
      </c>
    </row>
    <row r="790" spans="1:9" x14ac:dyDescent="0.25">
      <c r="A790" t="s">
        <v>46</v>
      </c>
      <c r="B790" t="s">
        <v>21</v>
      </c>
      <c r="C790" t="s">
        <v>35</v>
      </c>
      <c r="D790" s="1">
        <v>44592</v>
      </c>
      <c r="E790" s="1" t="str">
        <f>TEXT(Sales[[#This Row],[Date]],"mmm")</f>
        <v>Jan</v>
      </c>
      <c r="F790" s="1" t="str">
        <f t="shared" si="24"/>
        <v>2022</v>
      </c>
      <c r="G790" s="1" t="str">
        <f t="shared" si="25"/>
        <v>Mon</v>
      </c>
      <c r="H790" s="7">
        <v>2016</v>
      </c>
      <c r="I790" s="6">
        <v>277</v>
      </c>
    </row>
    <row r="791" spans="1:9" x14ac:dyDescent="0.25">
      <c r="A791" t="s">
        <v>55</v>
      </c>
      <c r="B791" t="s">
        <v>21</v>
      </c>
      <c r="C791" t="s">
        <v>57</v>
      </c>
      <c r="D791" s="1">
        <v>44742</v>
      </c>
      <c r="E791" s="1" t="str">
        <f>TEXT(Sales[[#This Row],[Date]],"mmm")</f>
        <v>Jun</v>
      </c>
      <c r="F791" s="1" t="str">
        <f t="shared" si="24"/>
        <v>2022</v>
      </c>
      <c r="G791" s="1" t="str">
        <f t="shared" si="25"/>
        <v>Thu</v>
      </c>
      <c r="H791" s="7">
        <v>7588</v>
      </c>
      <c r="I791" s="6">
        <v>42</v>
      </c>
    </row>
    <row r="792" spans="1:9" x14ac:dyDescent="0.25">
      <c r="A792" t="s">
        <v>25</v>
      </c>
      <c r="B792" t="s">
        <v>29</v>
      </c>
      <c r="C792" t="s">
        <v>45</v>
      </c>
      <c r="D792" s="1">
        <v>44798</v>
      </c>
      <c r="E792" s="1" t="str">
        <f>TEXT(Sales[[#This Row],[Date]],"mmm")</f>
        <v>Aug</v>
      </c>
      <c r="F792" s="1" t="str">
        <f t="shared" si="24"/>
        <v>2022</v>
      </c>
      <c r="G792" s="1" t="str">
        <f t="shared" si="25"/>
        <v>Thu</v>
      </c>
      <c r="H792" s="7">
        <v>3402</v>
      </c>
      <c r="I792" s="6">
        <v>249</v>
      </c>
    </row>
    <row r="793" spans="1:9" x14ac:dyDescent="0.25">
      <c r="A793" t="s">
        <v>12</v>
      </c>
      <c r="B793" t="s">
        <v>21</v>
      </c>
      <c r="C793" t="s">
        <v>16</v>
      </c>
      <c r="D793" s="1">
        <v>44571</v>
      </c>
      <c r="E793" s="1" t="str">
        <f>TEXT(Sales[[#This Row],[Date]],"mmm")</f>
        <v>Jan</v>
      </c>
      <c r="F793" s="1" t="str">
        <f t="shared" si="24"/>
        <v>2022</v>
      </c>
      <c r="G793" s="1" t="str">
        <f t="shared" si="25"/>
        <v>Mon</v>
      </c>
      <c r="H793" s="7">
        <v>700</v>
      </c>
      <c r="I793" s="6">
        <v>97</v>
      </c>
    </row>
    <row r="794" spans="1:9" x14ac:dyDescent="0.25">
      <c r="A794" t="s">
        <v>23</v>
      </c>
      <c r="B794" t="s">
        <v>26</v>
      </c>
      <c r="C794" t="s">
        <v>45</v>
      </c>
      <c r="D794" s="1">
        <v>44795</v>
      </c>
      <c r="E794" s="1" t="str">
        <f>TEXT(Sales[[#This Row],[Date]],"mmm")</f>
        <v>Aug</v>
      </c>
      <c r="F794" s="1" t="str">
        <f t="shared" si="24"/>
        <v>2022</v>
      </c>
      <c r="G794" s="1" t="str">
        <f t="shared" si="25"/>
        <v>Mon</v>
      </c>
      <c r="H794" s="7">
        <v>1904</v>
      </c>
      <c r="I794" s="6">
        <v>8</v>
      </c>
    </row>
    <row r="795" spans="1:9" x14ac:dyDescent="0.25">
      <c r="A795" t="s">
        <v>36</v>
      </c>
      <c r="B795" t="s">
        <v>21</v>
      </c>
      <c r="C795" t="s">
        <v>11</v>
      </c>
      <c r="D795" s="1">
        <v>44665</v>
      </c>
      <c r="E795" s="1" t="str">
        <f>TEXT(Sales[[#This Row],[Date]],"mmm")</f>
        <v>Apr</v>
      </c>
      <c r="F795" s="1" t="str">
        <f t="shared" si="24"/>
        <v>2022</v>
      </c>
      <c r="G795" s="1" t="str">
        <f t="shared" si="25"/>
        <v>Thu</v>
      </c>
      <c r="H795" s="7">
        <v>4844</v>
      </c>
      <c r="I795" s="6">
        <v>275</v>
      </c>
    </row>
    <row r="796" spans="1:9" x14ac:dyDescent="0.25">
      <c r="A796" t="s">
        <v>17</v>
      </c>
      <c r="B796" t="s">
        <v>7</v>
      </c>
      <c r="C796" t="s">
        <v>16</v>
      </c>
      <c r="D796" s="1">
        <v>44712</v>
      </c>
      <c r="E796" s="1" t="str">
        <f>TEXT(Sales[[#This Row],[Date]],"mmm")</f>
        <v>May</v>
      </c>
      <c r="F796" s="1" t="str">
        <f t="shared" si="24"/>
        <v>2022</v>
      </c>
      <c r="G796" s="1" t="str">
        <f t="shared" si="25"/>
        <v>Tue</v>
      </c>
      <c r="H796" s="7">
        <v>9625</v>
      </c>
      <c r="I796" s="6">
        <v>313</v>
      </c>
    </row>
    <row r="797" spans="1:9" x14ac:dyDescent="0.25">
      <c r="A797" t="s">
        <v>17</v>
      </c>
      <c r="B797" t="s">
        <v>7</v>
      </c>
      <c r="C797" t="s">
        <v>51</v>
      </c>
      <c r="D797" s="1">
        <v>44659</v>
      </c>
      <c r="E797" s="1" t="str">
        <f>TEXT(Sales[[#This Row],[Date]],"mmm")</f>
        <v>Apr</v>
      </c>
      <c r="F797" s="1" t="str">
        <f t="shared" si="24"/>
        <v>2022</v>
      </c>
      <c r="G797" s="1" t="str">
        <f t="shared" si="25"/>
        <v>Fri</v>
      </c>
      <c r="H797" s="7">
        <v>4599</v>
      </c>
      <c r="I797" s="6">
        <v>323</v>
      </c>
    </row>
    <row r="798" spans="1:9" x14ac:dyDescent="0.25">
      <c r="A798" t="s">
        <v>36</v>
      </c>
      <c r="B798" t="s">
        <v>26</v>
      </c>
      <c r="C798" t="s">
        <v>32</v>
      </c>
      <c r="D798" s="1">
        <v>44613</v>
      </c>
      <c r="E798" s="1" t="str">
        <f>TEXT(Sales[[#This Row],[Date]],"mmm")</f>
        <v>Feb</v>
      </c>
      <c r="F798" s="1" t="str">
        <f t="shared" si="24"/>
        <v>2022</v>
      </c>
      <c r="G798" s="1" t="str">
        <f t="shared" si="25"/>
        <v>Mon</v>
      </c>
      <c r="H798" s="7">
        <v>3003</v>
      </c>
      <c r="I798" s="6">
        <v>155</v>
      </c>
    </row>
    <row r="799" spans="1:9" x14ac:dyDescent="0.25">
      <c r="A799" t="s">
        <v>48</v>
      </c>
      <c r="B799" t="s">
        <v>15</v>
      </c>
      <c r="C799" t="s">
        <v>45</v>
      </c>
      <c r="D799" s="1">
        <v>44650</v>
      </c>
      <c r="E799" s="1" t="str">
        <f>TEXT(Sales[[#This Row],[Date]],"mmm")</f>
        <v>Mar</v>
      </c>
      <c r="F799" s="1" t="str">
        <f t="shared" si="24"/>
        <v>2022</v>
      </c>
      <c r="G799" s="1" t="str">
        <f t="shared" si="25"/>
        <v>Wed</v>
      </c>
      <c r="H799" s="7">
        <v>9744</v>
      </c>
      <c r="I799" s="6">
        <v>377</v>
      </c>
    </row>
    <row r="800" spans="1:9" x14ac:dyDescent="0.25">
      <c r="A800" t="s">
        <v>28</v>
      </c>
      <c r="B800" t="s">
        <v>10</v>
      </c>
      <c r="C800" t="s">
        <v>51</v>
      </c>
      <c r="D800" s="1">
        <v>44622</v>
      </c>
      <c r="E800" s="1" t="str">
        <f>TEXT(Sales[[#This Row],[Date]],"mmm")</f>
        <v>Mar</v>
      </c>
      <c r="F800" s="1" t="str">
        <f t="shared" si="24"/>
        <v>2022</v>
      </c>
      <c r="G800" s="1" t="str">
        <f t="shared" si="25"/>
        <v>Wed</v>
      </c>
      <c r="H800" s="7">
        <v>1400</v>
      </c>
      <c r="I800" s="6">
        <v>2</v>
      </c>
    </row>
    <row r="801" spans="1:9" x14ac:dyDescent="0.25">
      <c r="A801" t="s">
        <v>6</v>
      </c>
      <c r="B801" t="s">
        <v>26</v>
      </c>
      <c r="C801" t="s">
        <v>27</v>
      </c>
      <c r="D801" s="1">
        <v>44770</v>
      </c>
      <c r="E801" s="1" t="str">
        <f>TEXT(Sales[[#This Row],[Date]],"mmm")</f>
        <v>Jul</v>
      </c>
      <c r="F801" s="1" t="str">
        <f t="shared" si="24"/>
        <v>2022</v>
      </c>
      <c r="G801" s="1" t="str">
        <f t="shared" si="25"/>
        <v>Thu</v>
      </c>
      <c r="H801" s="7">
        <v>364</v>
      </c>
      <c r="I801" s="6">
        <v>170</v>
      </c>
    </row>
    <row r="802" spans="1:9" x14ac:dyDescent="0.25">
      <c r="A802" t="s">
        <v>41</v>
      </c>
      <c r="B802" t="s">
        <v>21</v>
      </c>
      <c r="C802" t="s">
        <v>58</v>
      </c>
      <c r="D802" s="1">
        <v>44644</v>
      </c>
      <c r="E802" s="1" t="str">
        <f>TEXT(Sales[[#This Row],[Date]],"mmm")</f>
        <v>Mar</v>
      </c>
      <c r="F802" s="1" t="str">
        <f t="shared" si="24"/>
        <v>2022</v>
      </c>
      <c r="G802" s="1" t="str">
        <f t="shared" si="25"/>
        <v>Thu</v>
      </c>
      <c r="H802" s="7">
        <v>7231</v>
      </c>
      <c r="I802" s="6">
        <v>38</v>
      </c>
    </row>
    <row r="803" spans="1:9" x14ac:dyDescent="0.25">
      <c r="A803" t="s">
        <v>38</v>
      </c>
      <c r="B803" t="s">
        <v>15</v>
      </c>
      <c r="C803" t="s">
        <v>20</v>
      </c>
      <c r="D803" s="1">
        <v>44784</v>
      </c>
      <c r="E803" s="1" t="str">
        <f>TEXT(Sales[[#This Row],[Date]],"mmm")</f>
        <v>Aug</v>
      </c>
      <c r="F803" s="1" t="str">
        <f t="shared" si="24"/>
        <v>2022</v>
      </c>
      <c r="G803" s="1" t="str">
        <f t="shared" si="25"/>
        <v>Thu</v>
      </c>
      <c r="H803" s="7">
        <v>63</v>
      </c>
      <c r="I803" s="6">
        <v>105</v>
      </c>
    </row>
    <row r="804" spans="1:9" x14ac:dyDescent="0.25">
      <c r="A804" t="s">
        <v>40</v>
      </c>
      <c r="B804" t="s">
        <v>7</v>
      </c>
      <c r="C804" t="s">
        <v>47</v>
      </c>
      <c r="D804" s="1">
        <v>44698</v>
      </c>
      <c r="E804" s="1" t="str">
        <f>TEXT(Sales[[#This Row],[Date]],"mmm")</f>
        <v>May</v>
      </c>
      <c r="F804" s="1" t="str">
        <f t="shared" si="24"/>
        <v>2022</v>
      </c>
      <c r="G804" s="1" t="str">
        <f t="shared" si="25"/>
        <v>Tue</v>
      </c>
      <c r="H804" s="7">
        <v>8309</v>
      </c>
      <c r="I804" s="6">
        <v>166</v>
      </c>
    </row>
    <row r="805" spans="1:9" x14ac:dyDescent="0.25">
      <c r="A805" t="s">
        <v>41</v>
      </c>
      <c r="B805" t="s">
        <v>29</v>
      </c>
      <c r="C805" t="s">
        <v>52</v>
      </c>
      <c r="D805" s="1">
        <v>44699</v>
      </c>
      <c r="E805" s="1" t="str">
        <f>TEXT(Sales[[#This Row],[Date]],"mmm")</f>
        <v>May</v>
      </c>
      <c r="F805" s="1" t="str">
        <f t="shared" si="24"/>
        <v>2022</v>
      </c>
      <c r="G805" s="1" t="str">
        <f t="shared" si="25"/>
        <v>Wed</v>
      </c>
      <c r="H805" s="7">
        <v>3164</v>
      </c>
      <c r="I805" s="6">
        <v>164</v>
      </c>
    </row>
    <row r="806" spans="1:9" x14ac:dyDescent="0.25">
      <c r="A806" t="s">
        <v>36</v>
      </c>
      <c r="B806" t="s">
        <v>7</v>
      </c>
      <c r="C806" t="s">
        <v>13</v>
      </c>
      <c r="D806" s="1">
        <v>44790</v>
      </c>
      <c r="E806" s="1" t="str">
        <f>TEXT(Sales[[#This Row],[Date]],"mmm")</f>
        <v>Aug</v>
      </c>
      <c r="F806" s="1" t="str">
        <f t="shared" si="24"/>
        <v>2022</v>
      </c>
      <c r="G806" s="1" t="str">
        <f t="shared" si="25"/>
        <v>Wed</v>
      </c>
      <c r="H806" s="7">
        <v>5691</v>
      </c>
      <c r="I806" s="6">
        <v>171</v>
      </c>
    </row>
    <row r="807" spans="1:9" x14ac:dyDescent="0.25">
      <c r="A807" t="s">
        <v>55</v>
      </c>
      <c r="B807" t="s">
        <v>21</v>
      </c>
      <c r="C807" t="s">
        <v>30</v>
      </c>
      <c r="D807" s="1">
        <v>44655</v>
      </c>
      <c r="E807" s="1" t="str">
        <f>TEXT(Sales[[#This Row],[Date]],"mmm")</f>
        <v>Apr</v>
      </c>
      <c r="F807" s="1" t="str">
        <f t="shared" si="24"/>
        <v>2022</v>
      </c>
      <c r="G807" s="1" t="str">
        <f t="shared" si="25"/>
        <v>Mon</v>
      </c>
      <c r="H807" s="7">
        <v>490</v>
      </c>
      <c r="I807" s="6">
        <v>49</v>
      </c>
    </row>
    <row r="808" spans="1:9" x14ac:dyDescent="0.25">
      <c r="A808" t="s">
        <v>23</v>
      </c>
      <c r="B808" t="s">
        <v>10</v>
      </c>
      <c r="C808" t="s">
        <v>11</v>
      </c>
      <c r="D808" s="1">
        <v>44782</v>
      </c>
      <c r="E808" s="1" t="str">
        <f>TEXT(Sales[[#This Row],[Date]],"mmm")</f>
        <v>Aug</v>
      </c>
      <c r="F808" s="1" t="str">
        <f t="shared" si="24"/>
        <v>2022</v>
      </c>
      <c r="G808" s="1" t="str">
        <f t="shared" si="25"/>
        <v>Tue</v>
      </c>
      <c r="H808" s="7">
        <v>18032</v>
      </c>
      <c r="I808" s="6">
        <v>205</v>
      </c>
    </row>
    <row r="809" spans="1:9" x14ac:dyDescent="0.25">
      <c r="A809" t="s">
        <v>23</v>
      </c>
      <c r="B809" t="s">
        <v>21</v>
      </c>
      <c r="C809" t="s">
        <v>35</v>
      </c>
      <c r="D809" s="1">
        <v>44578</v>
      </c>
      <c r="E809" s="1" t="str">
        <f>TEXT(Sales[[#This Row],[Date]],"mmm")</f>
        <v>Jan</v>
      </c>
      <c r="F809" s="1" t="str">
        <f t="shared" si="24"/>
        <v>2022</v>
      </c>
      <c r="G809" s="1" t="str">
        <f t="shared" si="25"/>
        <v>Mon</v>
      </c>
      <c r="H809" s="7">
        <v>637</v>
      </c>
      <c r="I809" s="6">
        <v>313</v>
      </c>
    </row>
    <row r="810" spans="1:9" x14ac:dyDescent="0.25">
      <c r="A810" t="s">
        <v>48</v>
      </c>
      <c r="B810" t="s">
        <v>29</v>
      </c>
      <c r="C810" t="s">
        <v>44</v>
      </c>
      <c r="D810" s="1">
        <v>44606</v>
      </c>
      <c r="E810" s="1" t="str">
        <f>TEXT(Sales[[#This Row],[Date]],"mmm")</f>
        <v>Feb</v>
      </c>
      <c r="F810" s="1" t="str">
        <f t="shared" si="24"/>
        <v>2022</v>
      </c>
      <c r="G810" s="1" t="str">
        <f t="shared" si="25"/>
        <v>Mon</v>
      </c>
      <c r="H810" s="7">
        <v>4067</v>
      </c>
      <c r="I810" s="6">
        <v>29</v>
      </c>
    </row>
    <row r="811" spans="1:9" x14ac:dyDescent="0.25">
      <c r="A811" t="s">
        <v>12</v>
      </c>
      <c r="B811" t="s">
        <v>21</v>
      </c>
      <c r="C811" t="s">
        <v>27</v>
      </c>
      <c r="D811" s="1">
        <v>44697</v>
      </c>
      <c r="E811" s="1" t="str">
        <f>TEXT(Sales[[#This Row],[Date]],"mmm")</f>
        <v>May</v>
      </c>
      <c r="F811" s="1" t="str">
        <f t="shared" si="24"/>
        <v>2022</v>
      </c>
      <c r="G811" s="1" t="str">
        <f t="shared" si="25"/>
        <v>Mon</v>
      </c>
      <c r="H811" s="7">
        <v>8204</v>
      </c>
      <c r="I811" s="6">
        <v>307</v>
      </c>
    </row>
    <row r="812" spans="1:9" x14ac:dyDescent="0.25">
      <c r="A812" t="s">
        <v>55</v>
      </c>
      <c r="B812" t="s">
        <v>29</v>
      </c>
      <c r="C812" t="s">
        <v>16</v>
      </c>
      <c r="D812" s="1">
        <v>44636</v>
      </c>
      <c r="E812" s="1" t="str">
        <f>TEXT(Sales[[#This Row],[Date]],"mmm")</f>
        <v>Mar</v>
      </c>
      <c r="F812" s="1" t="str">
        <f t="shared" si="24"/>
        <v>2022</v>
      </c>
      <c r="G812" s="1" t="str">
        <f t="shared" si="25"/>
        <v>Wed</v>
      </c>
      <c r="H812" s="7">
        <v>9870</v>
      </c>
      <c r="I812" s="6">
        <v>121</v>
      </c>
    </row>
    <row r="813" spans="1:9" x14ac:dyDescent="0.25">
      <c r="A813" t="s">
        <v>40</v>
      </c>
      <c r="B813" t="s">
        <v>29</v>
      </c>
      <c r="C813" t="s">
        <v>58</v>
      </c>
      <c r="D813" s="1">
        <v>44592</v>
      </c>
      <c r="E813" s="1" t="str">
        <f>TEXT(Sales[[#This Row],[Date]],"mmm")</f>
        <v>Jan</v>
      </c>
      <c r="F813" s="1" t="str">
        <f t="shared" si="24"/>
        <v>2022</v>
      </c>
      <c r="G813" s="1" t="str">
        <f t="shared" si="25"/>
        <v>Mon</v>
      </c>
      <c r="H813" s="7">
        <v>5131</v>
      </c>
      <c r="I813" s="6">
        <v>285</v>
      </c>
    </row>
    <row r="814" spans="1:9" x14ac:dyDescent="0.25">
      <c r="A814" t="s">
        <v>25</v>
      </c>
      <c r="B814" t="s">
        <v>29</v>
      </c>
      <c r="C814" t="s">
        <v>35</v>
      </c>
      <c r="D814" s="1">
        <v>44630</v>
      </c>
      <c r="E814" s="1" t="str">
        <f>TEXT(Sales[[#This Row],[Date]],"mmm")</f>
        <v>Mar</v>
      </c>
      <c r="F814" s="1" t="str">
        <f t="shared" si="24"/>
        <v>2022</v>
      </c>
      <c r="G814" s="1" t="str">
        <f t="shared" si="25"/>
        <v>Thu</v>
      </c>
      <c r="H814" s="7">
        <v>1141</v>
      </c>
      <c r="I814" s="6">
        <v>205</v>
      </c>
    </row>
    <row r="815" spans="1:9" x14ac:dyDescent="0.25">
      <c r="A815" t="s">
        <v>17</v>
      </c>
      <c r="B815" t="s">
        <v>7</v>
      </c>
      <c r="C815" t="s">
        <v>35</v>
      </c>
      <c r="D815" s="1">
        <v>44742</v>
      </c>
      <c r="E815" s="1" t="str">
        <f>TEXT(Sales[[#This Row],[Date]],"mmm")</f>
        <v>Jun</v>
      </c>
      <c r="F815" s="1" t="str">
        <f t="shared" si="24"/>
        <v>2022</v>
      </c>
      <c r="G815" s="1" t="str">
        <f t="shared" si="25"/>
        <v>Thu</v>
      </c>
      <c r="H815" s="7">
        <v>7980</v>
      </c>
      <c r="I815" s="6">
        <v>157</v>
      </c>
    </row>
    <row r="816" spans="1:9" x14ac:dyDescent="0.25">
      <c r="A816" t="s">
        <v>9</v>
      </c>
      <c r="B816" t="s">
        <v>21</v>
      </c>
      <c r="C816" t="s">
        <v>30</v>
      </c>
      <c r="D816" s="1">
        <v>44621</v>
      </c>
      <c r="E816" s="1" t="str">
        <f>TEXT(Sales[[#This Row],[Date]],"mmm")</f>
        <v>Mar</v>
      </c>
      <c r="F816" s="1" t="str">
        <f t="shared" si="24"/>
        <v>2022</v>
      </c>
      <c r="G816" s="1" t="str">
        <f t="shared" si="25"/>
        <v>Tue</v>
      </c>
      <c r="H816" s="7">
        <v>5229</v>
      </c>
      <c r="I816" s="6">
        <v>182</v>
      </c>
    </row>
    <row r="817" spans="1:9" x14ac:dyDescent="0.25">
      <c r="A817" t="s">
        <v>28</v>
      </c>
      <c r="B817" t="s">
        <v>7</v>
      </c>
      <c r="C817" t="s">
        <v>32</v>
      </c>
      <c r="D817" s="1">
        <v>44708</v>
      </c>
      <c r="E817" s="1" t="str">
        <f>TEXT(Sales[[#This Row],[Date]],"mmm")</f>
        <v>May</v>
      </c>
      <c r="F817" s="1" t="str">
        <f t="shared" si="24"/>
        <v>2022</v>
      </c>
      <c r="G817" s="1" t="str">
        <f t="shared" si="25"/>
        <v>Fri</v>
      </c>
      <c r="H817" s="7">
        <v>3423</v>
      </c>
      <c r="I817" s="6">
        <v>100</v>
      </c>
    </row>
    <row r="818" spans="1:9" x14ac:dyDescent="0.25">
      <c r="A818" t="s">
        <v>17</v>
      </c>
      <c r="B818" t="s">
        <v>7</v>
      </c>
      <c r="C818" t="s">
        <v>37</v>
      </c>
      <c r="D818" s="1">
        <v>44753</v>
      </c>
      <c r="E818" s="1" t="str">
        <f>TEXT(Sales[[#This Row],[Date]],"mmm")</f>
        <v>Jul</v>
      </c>
      <c r="F818" s="1" t="str">
        <f t="shared" si="24"/>
        <v>2022</v>
      </c>
      <c r="G818" s="1" t="str">
        <f t="shared" si="25"/>
        <v>Mon</v>
      </c>
      <c r="H818" s="7">
        <v>6468</v>
      </c>
      <c r="I818" s="6">
        <v>223</v>
      </c>
    </row>
    <row r="819" spans="1:9" x14ac:dyDescent="0.25">
      <c r="A819" t="s">
        <v>31</v>
      </c>
      <c r="B819" t="s">
        <v>21</v>
      </c>
      <c r="C819" t="s">
        <v>8</v>
      </c>
      <c r="D819" s="1">
        <v>44622</v>
      </c>
      <c r="E819" s="1" t="str">
        <f>TEXT(Sales[[#This Row],[Date]],"mmm")</f>
        <v>Mar</v>
      </c>
      <c r="F819" s="1" t="str">
        <f t="shared" si="24"/>
        <v>2022</v>
      </c>
      <c r="G819" s="1" t="str">
        <f t="shared" si="25"/>
        <v>Wed</v>
      </c>
      <c r="H819" s="7">
        <v>4326</v>
      </c>
      <c r="I819" s="6">
        <v>61</v>
      </c>
    </row>
    <row r="820" spans="1:9" x14ac:dyDescent="0.25">
      <c r="A820" t="s">
        <v>6</v>
      </c>
      <c r="B820" t="s">
        <v>26</v>
      </c>
      <c r="C820" t="s">
        <v>51</v>
      </c>
      <c r="D820" s="1">
        <v>44624</v>
      </c>
      <c r="E820" s="1" t="str">
        <f>TEXT(Sales[[#This Row],[Date]],"mmm")</f>
        <v>Mar</v>
      </c>
      <c r="F820" s="1" t="str">
        <f t="shared" si="24"/>
        <v>2022</v>
      </c>
      <c r="G820" s="1" t="str">
        <f t="shared" si="25"/>
        <v>Fri</v>
      </c>
      <c r="H820" s="7">
        <v>7154</v>
      </c>
      <c r="I820" s="6">
        <v>133</v>
      </c>
    </row>
    <row r="821" spans="1:9" x14ac:dyDescent="0.25">
      <c r="A821" t="s">
        <v>49</v>
      </c>
      <c r="B821" t="s">
        <v>7</v>
      </c>
      <c r="C821" t="s">
        <v>11</v>
      </c>
      <c r="D821" s="1">
        <v>44735</v>
      </c>
      <c r="E821" s="1" t="str">
        <f>TEXT(Sales[[#This Row],[Date]],"mmm")</f>
        <v>Jun</v>
      </c>
      <c r="F821" s="1" t="str">
        <f t="shared" si="24"/>
        <v>2022</v>
      </c>
      <c r="G821" s="1" t="str">
        <f t="shared" si="25"/>
        <v>Thu</v>
      </c>
      <c r="H821" s="7">
        <v>3997</v>
      </c>
      <c r="I821" s="6">
        <v>228</v>
      </c>
    </row>
    <row r="822" spans="1:9" x14ac:dyDescent="0.25">
      <c r="A822" t="s">
        <v>49</v>
      </c>
      <c r="B822" t="s">
        <v>26</v>
      </c>
      <c r="C822" t="s">
        <v>47</v>
      </c>
      <c r="D822" s="1">
        <v>44588</v>
      </c>
      <c r="E822" s="1" t="str">
        <f>TEXT(Sales[[#This Row],[Date]],"mmm")</f>
        <v>Jan</v>
      </c>
      <c r="F822" s="1" t="str">
        <f t="shared" si="24"/>
        <v>2022</v>
      </c>
      <c r="G822" s="1" t="str">
        <f t="shared" si="25"/>
        <v>Thu</v>
      </c>
      <c r="H822" s="7">
        <v>5180</v>
      </c>
      <c r="I822" s="6">
        <v>233</v>
      </c>
    </row>
    <row r="823" spans="1:9" x14ac:dyDescent="0.25">
      <c r="A823" t="s">
        <v>33</v>
      </c>
      <c r="B823" t="s">
        <v>29</v>
      </c>
      <c r="C823" t="s">
        <v>27</v>
      </c>
      <c r="D823" s="1">
        <v>44575</v>
      </c>
      <c r="E823" s="1" t="str">
        <f>TEXT(Sales[[#This Row],[Date]],"mmm")</f>
        <v>Jan</v>
      </c>
      <c r="F823" s="1" t="str">
        <f t="shared" si="24"/>
        <v>2022</v>
      </c>
      <c r="G823" s="1" t="str">
        <f t="shared" si="25"/>
        <v>Fri</v>
      </c>
      <c r="H823" s="7">
        <v>2723</v>
      </c>
      <c r="I823" s="6">
        <v>425</v>
      </c>
    </row>
    <row r="824" spans="1:9" x14ac:dyDescent="0.25">
      <c r="A824" t="s">
        <v>43</v>
      </c>
      <c r="B824" t="s">
        <v>10</v>
      </c>
      <c r="C824" t="s">
        <v>42</v>
      </c>
      <c r="D824" s="1">
        <v>44771</v>
      </c>
      <c r="E824" s="1" t="str">
        <f>TEXT(Sales[[#This Row],[Date]],"mmm")</f>
        <v>Jul</v>
      </c>
      <c r="F824" s="1" t="str">
        <f t="shared" si="24"/>
        <v>2022</v>
      </c>
      <c r="G824" s="1" t="str">
        <f t="shared" si="25"/>
        <v>Fri</v>
      </c>
      <c r="H824" s="7">
        <v>952</v>
      </c>
      <c r="I824" s="6">
        <v>24</v>
      </c>
    </row>
    <row r="825" spans="1:9" x14ac:dyDescent="0.25">
      <c r="A825" t="s">
        <v>23</v>
      </c>
      <c r="B825" t="s">
        <v>29</v>
      </c>
      <c r="C825" t="s">
        <v>16</v>
      </c>
      <c r="D825" s="1">
        <v>44694</v>
      </c>
      <c r="E825" s="1" t="str">
        <f>TEXT(Sales[[#This Row],[Date]],"mmm")</f>
        <v>May</v>
      </c>
      <c r="F825" s="1" t="str">
        <f t="shared" si="24"/>
        <v>2022</v>
      </c>
      <c r="G825" s="1" t="str">
        <f t="shared" si="25"/>
        <v>Fri</v>
      </c>
      <c r="H825" s="7">
        <v>5691</v>
      </c>
      <c r="I825" s="6">
        <v>495</v>
      </c>
    </row>
    <row r="826" spans="1:9" x14ac:dyDescent="0.25">
      <c r="A826" t="s">
        <v>25</v>
      </c>
      <c r="B826" t="s">
        <v>29</v>
      </c>
      <c r="C826" t="s">
        <v>56</v>
      </c>
      <c r="D826" s="1">
        <v>44595</v>
      </c>
      <c r="E826" s="1" t="str">
        <f>TEXT(Sales[[#This Row],[Date]],"mmm")</f>
        <v>Feb</v>
      </c>
      <c r="F826" s="1" t="str">
        <f t="shared" si="24"/>
        <v>2022</v>
      </c>
      <c r="G826" s="1" t="str">
        <f t="shared" si="25"/>
        <v>Thu</v>
      </c>
      <c r="H826" s="7">
        <v>10969</v>
      </c>
      <c r="I826" s="6">
        <v>170</v>
      </c>
    </row>
    <row r="827" spans="1:9" x14ac:dyDescent="0.25">
      <c r="A827" t="s">
        <v>23</v>
      </c>
      <c r="B827" t="s">
        <v>10</v>
      </c>
      <c r="C827" t="s">
        <v>16</v>
      </c>
      <c r="D827" s="1">
        <v>44708</v>
      </c>
      <c r="E827" s="1" t="str">
        <f>TEXT(Sales[[#This Row],[Date]],"mmm")</f>
        <v>May</v>
      </c>
      <c r="F827" s="1" t="str">
        <f t="shared" si="24"/>
        <v>2022</v>
      </c>
      <c r="G827" s="1" t="str">
        <f t="shared" si="25"/>
        <v>Fri</v>
      </c>
      <c r="H827" s="7">
        <v>5964</v>
      </c>
      <c r="I827" s="6">
        <v>26</v>
      </c>
    </row>
    <row r="828" spans="1:9" x14ac:dyDescent="0.25">
      <c r="A828" t="s">
        <v>14</v>
      </c>
      <c r="B828" t="s">
        <v>15</v>
      </c>
      <c r="C828" t="s">
        <v>32</v>
      </c>
      <c r="D828" s="1">
        <v>44610</v>
      </c>
      <c r="E828" s="1" t="str">
        <f>TEXT(Sales[[#This Row],[Date]],"mmm")</f>
        <v>Feb</v>
      </c>
      <c r="F828" s="1" t="str">
        <f t="shared" si="24"/>
        <v>2022</v>
      </c>
      <c r="G828" s="1" t="str">
        <f t="shared" si="25"/>
        <v>Fri</v>
      </c>
      <c r="H828" s="7">
        <v>2821</v>
      </c>
      <c r="I828" s="6">
        <v>24</v>
      </c>
    </row>
    <row r="829" spans="1:9" x14ac:dyDescent="0.25">
      <c r="A829" t="s">
        <v>23</v>
      </c>
      <c r="B829" t="s">
        <v>10</v>
      </c>
      <c r="C829" t="s">
        <v>39</v>
      </c>
      <c r="D829" s="1">
        <v>44589</v>
      </c>
      <c r="E829" s="1" t="str">
        <f>TEXT(Sales[[#This Row],[Date]],"mmm")</f>
        <v>Jan</v>
      </c>
      <c r="F829" s="1" t="str">
        <f t="shared" si="24"/>
        <v>2022</v>
      </c>
      <c r="G829" s="1" t="str">
        <f t="shared" si="25"/>
        <v>Fri</v>
      </c>
      <c r="H829" s="7">
        <v>1302</v>
      </c>
      <c r="I829" s="6">
        <v>33</v>
      </c>
    </row>
    <row r="830" spans="1:9" x14ac:dyDescent="0.25">
      <c r="A830" t="s">
        <v>9</v>
      </c>
      <c r="B830" t="s">
        <v>7</v>
      </c>
      <c r="C830" t="s">
        <v>30</v>
      </c>
      <c r="D830" s="1">
        <v>44741</v>
      </c>
      <c r="E830" s="1" t="str">
        <f>TEXT(Sales[[#This Row],[Date]],"mmm")</f>
        <v>Jun</v>
      </c>
      <c r="F830" s="1" t="str">
        <f t="shared" si="24"/>
        <v>2022</v>
      </c>
      <c r="G830" s="1" t="str">
        <f t="shared" si="25"/>
        <v>Wed</v>
      </c>
      <c r="H830" s="7">
        <v>5474</v>
      </c>
      <c r="I830" s="6">
        <v>109</v>
      </c>
    </row>
    <row r="831" spans="1:9" x14ac:dyDescent="0.25">
      <c r="A831" t="s">
        <v>46</v>
      </c>
      <c r="B831" t="s">
        <v>10</v>
      </c>
      <c r="C831" t="s">
        <v>57</v>
      </c>
      <c r="D831" s="1">
        <v>44574</v>
      </c>
      <c r="E831" s="1" t="str">
        <f>TEXT(Sales[[#This Row],[Date]],"mmm")</f>
        <v>Jan</v>
      </c>
      <c r="F831" s="1" t="str">
        <f t="shared" si="24"/>
        <v>2022</v>
      </c>
      <c r="G831" s="1" t="str">
        <f t="shared" si="25"/>
        <v>Thu</v>
      </c>
      <c r="H831" s="7">
        <v>4179</v>
      </c>
      <c r="I831" s="6">
        <v>276</v>
      </c>
    </row>
    <row r="832" spans="1:9" x14ac:dyDescent="0.25">
      <c r="A832" t="s">
        <v>6</v>
      </c>
      <c r="B832" t="s">
        <v>7</v>
      </c>
      <c r="C832" t="s">
        <v>20</v>
      </c>
      <c r="D832" s="1">
        <v>44739</v>
      </c>
      <c r="E832" s="1" t="str">
        <f>TEXT(Sales[[#This Row],[Date]],"mmm")</f>
        <v>Jun</v>
      </c>
      <c r="F832" s="1" t="str">
        <f t="shared" si="24"/>
        <v>2022</v>
      </c>
      <c r="G832" s="1" t="str">
        <f t="shared" si="25"/>
        <v>Mon</v>
      </c>
      <c r="H832" s="7">
        <v>1946</v>
      </c>
      <c r="I832" s="6">
        <v>164</v>
      </c>
    </row>
    <row r="833" spans="1:9" x14ac:dyDescent="0.25">
      <c r="A833" t="s">
        <v>25</v>
      </c>
      <c r="B833" t="s">
        <v>29</v>
      </c>
      <c r="C833" t="s">
        <v>44</v>
      </c>
      <c r="D833" s="1">
        <v>44649</v>
      </c>
      <c r="E833" s="1" t="str">
        <f>TEXT(Sales[[#This Row],[Date]],"mmm")</f>
        <v>Mar</v>
      </c>
      <c r="F833" s="1" t="str">
        <f t="shared" si="24"/>
        <v>2022</v>
      </c>
      <c r="G833" s="1" t="str">
        <f t="shared" si="25"/>
        <v>Tue</v>
      </c>
      <c r="H833" s="7">
        <v>4291</v>
      </c>
      <c r="I833" s="6">
        <v>1</v>
      </c>
    </row>
    <row r="834" spans="1:9" x14ac:dyDescent="0.25">
      <c r="A834" t="s">
        <v>19</v>
      </c>
      <c r="B834" t="s">
        <v>10</v>
      </c>
      <c r="C834" t="s">
        <v>35</v>
      </c>
      <c r="D834" s="1">
        <v>44715</v>
      </c>
      <c r="E834" s="1" t="str">
        <f>TEXT(Sales[[#This Row],[Date]],"mmm")</f>
        <v>Jun</v>
      </c>
      <c r="F834" s="1" t="str">
        <f t="shared" ref="F834:F897" si="26">TEXT(D:D,"yyyy")</f>
        <v>2022</v>
      </c>
      <c r="G834" s="1" t="str">
        <f t="shared" ref="G834:G897" si="27">TEXT(D:D,"ddd")</f>
        <v>Fri</v>
      </c>
      <c r="H834" s="7">
        <v>7196</v>
      </c>
      <c r="I834" s="6">
        <v>160</v>
      </c>
    </row>
    <row r="835" spans="1:9" x14ac:dyDescent="0.25">
      <c r="A835" t="s">
        <v>28</v>
      </c>
      <c r="B835" t="s">
        <v>29</v>
      </c>
      <c r="C835" t="s">
        <v>16</v>
      </c>
      <c r="D835" s="1">
        <v>44641</v>
      </c>
      <c r="E835" s="1" t="str">
        <f>TEXT(Sales[[#This Row],[Date]],"mmm")</f>
        <v>Mar</v>
      </c>
      <c r="F835" s="1" t="str">
        <f t="shared" si="26"/>
        <v>2022</v>
      </c>
      <c r="G835" s="1" t="str">
        <f t="shared" si="27"/>
        <v>Mon</v>
      </c>
      <c r="H835" s="7">
        <v>1939</v>
      </c>
      <c r="I835" s="6">
        <v>98</v>
      </c>
    </row>
    <row r="836" spans="1:9" x14ac:dyDescent="0.25">
      <c r="A836" t="s">
        <v>28</v>
      </c>
      <c r="B836" t="s">
        <v>10</v>
      </c>
      <c r="C836" t="s">
        <v>30</v>
      </c>
      <c r="D836" s="1">
        <v>44663</v>
      </c>
      <c r="E836" s="1" t="str">
        <f>TEXT(Sales[[#This Row],[Date]],"mmm")</f>
        <v>Apr</v>
      </c>
      <c r="F836" s="1" t="str">
        <f t="shared" si="26"/>
        <v>2022</v>
      </c>
      <c r="G836" s="1" t="str">
        <f t="shared" si="27"/>
        <v>Tue</v>
      </c>
      <c r="H836" s="7">
        <v>10437</v>
      </c>
      <c r="I836" s="6">
        <v>46</v>
      </c>
    </row>
    <row r="837" spans="1:9" x14ac:dyDescent="0.25">
      <c r="A837" t="s">
        <v>24</v>
      </c>
      <c r="B837" t="s">
        <v>15</v>
      </c>
      <c r="C837" t="s">
        <v>51</v>
      </c>
      <c r="D837" s="1">
        <v>44580</v>
      </c>
      <c r="E837" s="1" t="str">
        <f>TEXT(Sales[[#This Row],[Date]],"mmm")</f>
        <v>Jan</v>
      </c>
      <c r="F837" s="1" t="str">
        <f t="shared" si="26"/>
        <v>2022</v>
      </c>
      <c r="G837" s="1" t="str">
        <f t="shared" si="27"/>
        <v>Wed</v>
      </c>
      <c r="H837" s="7">
        <v>6916</v>
      </c>
      <c r="I837" s="6">
        <v>259</v>
      </c>
    </row>
    <row r="838" spans="1:9" x14ac:dyDescent="0.25">
      <c r="A838" t="s">
        <v>31</v>
      </c>
      <c r="B838" t="s">
        <v>7</v>
      </c>
      <c r="C838" t="s">
        <v>22</v>
      </c>
      <c r="D838" s="1">
        <v>44657</v>
      </c>
      <c r="E838" s="1" t="str">
        <f>TEXT(Sales[[#This Row],[Date]],"mmm")</f>
        <v>Apr</v>
      </c>
      <c r="F838" s="1" t="str">
        <f t="shared" si="26"/>
        <v>2022</v>
      </c>
      <c r="G838" s="1" t="str">
        <f t="shared" si="27"/>
        <v>Wed</v>
      </c>
      <c r="H838" s="7">
        <v>3647</v>
      </c>
      <c r="I838" s="6">
        <v>310</v>
      </c>
    </row>
    <row r="839" spans="1:9" x14ac:dyDescent="0.25">
      <c r="A839" t="s">
        <v>41</v>
      </c>
      <c r="B839" t="s">
        <v>15</v>
      </c>
      <c r="C839" t="s">
        <v>22</v>
      </c>
      <c r="D839" s="1">
        <v>44775</v>
      </c>
      <c r="E839" s="1" t="str">
        <f>TEXT(Sales[[#This Row],[Date]],"mmm")</f>
        <v>Aug</v>
      </c>
      <c r="F839" s="1" t="str">
        <f t="shared" si="26"/>
        <v>2022</v>
      </c>
      <c r="G839" s="1" t="str">
        <f t="shared" si="27"/>
        <v>Tue</v>
      </c>
      <c r="H839" s="7">
        <v>8995</v>
      </c>
      <c r="I839" s="6">
        <v>78</v>
      </c>
    </row>
    <row r="840" spans="1:9" x14ac:dyDescent="0.25">
      <c r="A840" t="s">
        <v>12</v>
      </c>
      <c r="B840" t="s">
        <v>15</v>
      </c>
      <c r="C840" t="s">
        <v>30</v>
      </c>
      <c r="D840" s="1">
        <v>44663</v>
      </c>
      <c r="E840" s="1" t="str">
        <f>TEXT(Sales[[#This Row],[Date]],"mmm")</f>
        <v>Apr</v>
      </c>
      <c r="F840" s="1" t="str">
        <f t="shared" si="26"/>
        <v>2022</v>
      </c>
      <c r="G840" s="1" t="str">
        <f t="shared" si="27"/>
        <v>Tue</v>
      </c>
      <c r="H840" s="7">
        <v>7252</v>
      </c>
      <c r="I840" s="6">
        <v>136</v>
      </c>
    </row>
    <row r="841" spans="1:9" x14ac:dyDescent="0.25">
      <c r="A841" t="s">
        <v>17</v>
      </c>
      <c r="B841" t="s">
        <v>10</v>
      </c>
      <c r="C841" t="s">
        <v>32</v>
      </c>
      <c r="D841" s="1">
        <v>44763</v>
      </c>
      <c r="E841" s="1" t="str">
        <f>TEXT(Sales[[#This Row],[Date]],"mmm")</f>
        <v>Jul</v>
      </c>
      <c r="F841" s="1" t="str">
        <f t="shared" si="26"/>
        <v>2022</v>
      </c>
      <c r="G841" s="1" t="str">
        <f t="shared" si="27"/>
        <v>Thu</v>
      </c>
      <c r="H841" s="7">
        <v>16380</v>
      </c>
      <c r="I841" s="6">
        <v>130</v>
      </c>
    </row>
    <row r="842" spans="1:9" x14ac:dyDescent="0.25">
      <c r="A842" t="s">
        <v>9</v>
      </c>
      <c r="B842" t="s">
        <v>21</v>
      </c>
      <c r="C842" t="s">
        <v>56</v>
      </c>
      <c r="D842" s="1">
        <v>44642</v>
      </c>
      <c r="E842" s="1" t="str">
        <f>TEXT(Sales[[#This Row],[Date]],"mmm")</f>
        <v>Mar</v>
      </c>
      <c r="F842" s="1" t="str">
        <f t="shared" si="26"/>
        <v>2022</v>
      </c>
      <c r="G842" s="1" t="str">
        <f t="shared" si="27"/>
        <v>Tue</v>
      </c>
      <c r="H842" s="7">
        <v>9660</v>
      </c>
      <c r="I842" s="6">
        <v>24</v>
      </c>
    </row>
    <row r="843" spans="1:9" x14ac:dyDescent="0.25">
      <c r="A843" t="s">
        <v>40</v>
      </c>
      <c r="B843" t="s">
        <v>10</v>
      </c>
      <c r="C843" t="s">
        <v>13</v>
      </c>
      <c r="D843" s="1">
        <v>44690</v>
      </c>
      <c r="E843" s="1" t="str">
        <f>TEXT(Sales[[#This Row],[Date]],"mmm")</f>
        <v>May</v>
      </c>
      <c r="F843" s="1" t="str">
        <f t="shared" si="26"/>
        <v>2022</v>
      </c>
      <c r="G843" s="1" t="str">
        <f t="shared" si="27"/>
        <v>Mon</v>
      </c>
      <c r="H843" s="7">
        <v>4522</v>
      </c>
      <c r="I843" s="6">
        <v>5</v>
      </c>
    </row>
    <row r="844" spans="1:9" x14ac:dyDescent="0.25">
      <c r="A844" t="s">
        <v>48</v>
      </c>
      <c r="B844" t="s">
        <v>15</v>
      </c>
      <c r="C844" t="s">
        <v>56</v>
      </c>
      <c r="D844" s="1">
        <v>44782</v>
      </c>
      <c r="E844" s="1" t="str">
        <f>TEXT(Sales[[#This Row],[Date]],"mmm")</f>
        <v>Aug</v>
      </c>
      <c r="F844" s="1" t="str">
        <f t="shared" si="26"/>
        <v>2022</v>
      </c>
      <c r="G844" s="1" t="str">
        <f t="shared" si="27"/>
        <v>Tue</v>
      </c>
      <c r="H844" s="7">
        <v>329</v>
      </c>
      <c r="I844" s="6">
        <v>109</v>
      </c>
    </row>
    <row r="845" spans="1:9" x14ac:dyDescent="0.25">
      <c r="A845" t="s">
        <v>53</v>
      </c>
      <c r="B845" t="s">
        <v>29</v>
      </c>
      <c r="C845" t="s">
        <v>52</v>
      </c>
      <c r="D845" s="1">
        <v>44762</v>
      </c>
      <c r="E845" s="1" t="str">
        <f>TEXT(Sales[[#This Row],[Date]],"mmm")</f>
        <v>Jul</v>
      </c>
      <c r="F845" s="1" t="str">
        <f t="shared" si="26"/>
        <v>2022</v>
      </c>
      <c r="G845" s="1" t="str">
        <f t="shared" si="27"/>
        <v>Wed</v>
      </c>
      <c r="H845" s="7">
        <v>3458</v>
      </c>
      <c r="I845" s="6">
        <v>294</v>
      </c>
    </row>
    <row r="846" spans="1:9" x14ac:dyDescent="0.25">
      <c r="A846" t="s">
        <v>23</v>
      </c>
      <c r="B846" t="s">
        <v>10</v>
      </c>
      <c r="C846" t="s">
        <v>58</v>
      </c>
      <c r="D846" s="1">
        <v>44665</v>
      </c>
      <c r="E846" s="1" t="str">
        <f>TEXT(Sales[[#This Row],[Date]],"mmm")</f>
        <v>Apr</v>
      </c>
      <c r="F846" s="1" t="str">
        <f t="shared" si="26"/>
        <v>2022</v>
      </c>
      <c r="G846" s="1" t="str">
        <f t="shared" si="27"/>
        <v>Thu</v>
      </c>
      <c r="H846" s="7">
        <v>4641</v>
      </c>
      <c r="I846" s="6">
        <v>413</v>
      </c>
    </row>
    <row r="847" spans="1:9" x14ac:dyDescent="0.25">
      <c r="A847" t="s">
        <v>6</v>
      </c>
      <c r="B847" t="s">
        <v>29</v>
      </c>
      <c r="C847" t="s">
        <v>44</v>
      </c>
      <c r="D847" s="1">
        <v>44586</v>
      </c>
      <c r="E847" s="1" t="str">
        <f>TEXT(Sales[[#This Row],[Date]],"mmm")</f>
        <v>Jan</v>
      </c>
      <c r="F847" s="1" t="str">
        <f t="shared" si="26"/>
        <v>2022</v>
      </c>
      <c r="G847" s="1" t="str">
        <f t="shared" si="27"/>
        <v>Tue</v>
      </c>
      <c r="H847" s="7">
        <v>4627</v>
      </c>
      <c r="I847" s="6">
        <v>136</v>
      </c>
    </row>
    <row r="848" spans="1:9" x14ac:dyDescent="0.25">
      <c r="A848" t="s">
        <v>48</v>
      </c>
      <c r="B848" t="s">
        <v>15</v>
      </c>
      <c r="C848" t="s">
        <v>47</v>
      </c>
      <c r="D848" s="1">
        <v>44676</v>
      </c>
      <c r="E848" s="1" t="str">
        <f>TEXT(Sales[[#This Row],[Date]],"mmm")</f>
        <v>Apr</v>
      </c>
      <c r="F848" s="1" t="str">
        <f t="shared" si="26"/>
        <v>2022</v>
      </c>
      <c r="G848" s="1" t="str">
        <f t="shared" si="27"/>
        <v>Mon</v>
      </c>
      <c r="H848" s="7">
        <v>3192</v>
      </c>
      <c r="I848" s="6">
        <v>175</v>
      </c>
    </row>
    <row r="849" spans="1:9" x14ac:dyDescent="0.25">
      <c r="A849" t="s">
        <v>54</v>
      </c>
      <c r="B849" t="s">
        <v>29</v>
      </c>
      <c r="C849" t="s">
        <v>20</v>
      </c>
      <c r="D849" s="1">
        <v>44578</v>
      </c>
      <c r="E849" s="1" t="str">
        <f>TEXT(Sales[[#This Row],[Date]],"mmm")</f>
        <v>Jan</v>
      </c>
      <c r="F849" s="1" t="str">
        <f t="shared" si="26"/>
        <v>2022</v>
      </c>
      <c r="G849" s="1" t="str">
        <f t="shared" si="27"/>
        <v>Mon</v>
      </c>
      <c r="H849" s="7">
        <v>252</v>
      </c>
      <c r="I849" s="6">
        <v>237</v>
      </c>
    </row>
    <row r="850" spans="1:9" x14ac:dyDescent="0.25">
      <c r="A850" t="s">
        <v>31</v>
      </c>
      <c r="B850" t="s">
        <v>26</v>
      </c>
      <c r="C850" t="s">
        <v>30</v>
      </c>
      <c r="D850" s="1">
        <v>44788</v>
      </c>
      <c r="E850" s="1" t="str">
        <f>TEXT(Sales[[#This Row],[Date]],"mmm")</f>
        <v>Aug</v>
      </c>
      <c r="F850" s="1" t="str">
        <f t="shared" si="26"/>
        <v>2022</v>
      </c>
      <c r="G850" s="1" t="str">
        <f t="shared" si="27"/>
        <v>Mon</v>
      </c>
      <c r="H850" s="7">
        <v>868</v>
      </c>
      <c r="I850" s="6">
        <v>125</v>
      </c>
    </row>
    <row r="851" spans="1:9" x14ac:dyDescent="0.25">
      <c r="A851" t="s">
        <v>31</v>
      </c>
      <c r="B851" t="s">
        <v>29</v>
      </c>
      <c r="C851" t="s">
        <v>42</v>
      </c>
      <c r="D851" s="1">
        <v>44714</v>
      </c>
      <c r="E851" s="1" t="str">
        <f>TEXT(Sales[[#This Row],[Date]],"mmm")</f>
        <v>Jun</v>
      </c>
      <c r="F851" s="1" t="str">
        <f t="shared" si="26"/>
        <v>2022</v>
      </c>
      <c r="G851" s="1" t="str">
        <f t="shared" si="27"/>
        <v>Thu</v>
      </c>
      <c r="H851" s="7">
        <v>210</v>
      </c>
      <c r="I851" s="6">
        <v>16</v>
      </c>
    </row>
    <row r="852" spans="1:9" x14ac:dyDescent="0.25">
      <c r="A852" t="s">
        <v>19</v>
      </c>
      <c r="B852" t="s">
        <v>26</v>
      </c>
      <c r="C852" t="s">
        <v>11</v>
      </c>
      <c r="D852" s="1">
        <v>44742</v>
      </c>
      <c r="E852" s="1" t="str">
        <f>TEXT(Sales[[#This Row],[Date]],"mmm")</f>
        <v>Jun</v>
      </c>
      <c r="F852" s="1" t="str">
        <f t="shared" si="26"/>
        <v>2022</v>
      </c>
      <c r="G852" s="1" t="str">
        <f t="shared" si="27"/>
        <v>Thu</v>
      </c>
      <c r="H852" s="7">
        <v>7007</v>
      </c>
      <c r="I852" s="6">
        <v>135</v>
      </c>
    </row>
    <row r="853" spans="1:9" x14ac:dyDescent="0.25">
      <c r="A853" t="s">
        <v>54</v>
      </c>
      <c r="B853" t="s">
        <v>21</v>
      </c>
      <c r="C853" t="s">
        <v>51</v>
      </c>
      <c r="D853" s="1">
        <v>44602</v>
      </c>
      <c r="E853" s="1" t="str">
        <f>TEXT(Sales[[#This Row],[Date]],"mmm")</f>
        <v>Feb</v>
      </c>
      <c r="F853" s="1" t="str">
        <f t="shared" si="26"/>
        <v>2022</v>
      </c>
      <c r="G853" s="1" t="str">
        <f t="shared" si="27"/>
        <v>Thu</v>
      </c>
      <c r="H853" s="7">
        <v>5845</v>
      </c>
      <c r="I853" s="6">
        <v>91</v>
      </c>
    </row>
    <row r="854" spans="1:9" x14ac:dyDescent="0.25">
      <c r="A854" t="s">
        <v>33</v>
      </c>
      <c r="B854" t="s">
        <v>29</v>
      </c>
      <c r="C854" t="s">
        <v>57</v>
      </c>
      <c r="D854" s="1">
        <v>44615</v>
      </c>
      <c r="E854" s="1" t="str">
        <f>TEXT(Sales[[#This Row],[Date]],"mmm")</f>
        <v>Feb</v>
      </c>
      <c r="F854" s="1" t="str">
        <f t="shared" si="26"/>
        <v>2022</v>
      </c>
      <c r="G854" s="1" t="str">
        <f t="shared" si="27"/>
        <v>Wed</v>
      </c>
      <c r="H854" s="7">
        <v>1372</v>
      </c>
      <c r="I854" s="6">
        <v>614</v>
      </c>
    </row>
    <row r="855" spans="1:9" x14ac:dyDescent="0.25">
      <c r="A855" t="s">
        <v>43</v>
      </c>
      <c r="B855" t="s">
        <v>10</v>
      </c>
      <c r="C855" t="s">
        <v>35</v>
      </c>
      <c r="D855" s="1">
        <v>44588</v>
      </c>
      <c r="E855" s="1" t="str">
        <f>TEXT(Sales[[#This Row],[Date]],"mmm")</f>
        <v>Jan</v>
      </c>
      <c r="F855" s="1" t="str">
        <f t="shared" si="26"/>
        <v>2022</v>
      </c>
      <c r="G855" s="1" t="str">
        <f t="shared" si="27"/>
        <v>Thu</v>
      </c>
      <c r="H855" s="7">
        <v>8428</v>
      </c>
      <c r="I855" s="6">
        <v>216</v>
      </c>
    </row>
    <row r="856" spans="1:9" x14ac:dyDescent="0.25">
      <c r="A856" t="s">
        <v>50</v>
      </c>
      <c r="B856" t="s">
        <v>7</v>
      </c>
      <c r="C856" t="s">
        <v>8</v>
      </c>
      <c r="D856" s="1">
        <v>44707</v>
      </c>
      <c r="E856" s="1" t="str">
        <f>TEXT(Sales[[#This Row],[Date]],"mmm")</f>
        <v>May</v>
      </c>
      <c r="F856" s="1" t="str">
        <f t="shared" si="26"/>
        <v>2022</v>
      </c>
      <c r="G856" s="1" t="str">
        <f t="shared" si="27"/>
        <v>Thu</v>
      </c>
      <c r="H856" s="7">
        <v>4977</v>
      </c>
      <c r="I856" s="6">
        <v>317</v>
      </c>
    </row>
    <row r="857" spans="1:9" x14ac:dyDescent="0.25">
      <c r="A857" t="s">
        <v>23</v>
      </c>
      <c r="B857" t="s">
        <v>26</v>
      </c>
      <c r="C857" t="s">
        <v>58</v>
      </c>
      <c r="D857" s="1">
        <v>44665</v>
      </c>
      <c r="E857" s="1" t="str">
        <f>TEXT(Sales[[#This Row],[Date]],"mmm")</f>
        <v>Apr</v>
      </c>
      <c r="F857" s="1" t="str">
        <f t="shared" si="26"/>
        <v>2022</v>
      </c>
      <c r="G857" s="1" t="str">
        <f t="shared" si="27"/>
        <v>Thu</v>
      </c>
      <c r="H857" s="7">
        <v>1694</v>
      </c>
      <c r="I857" s="6">
        <v>21</v>
      </c>
    </row>
    <row r="858" spans="1:9" x14ac:dyDescent="0.25">
      <c r="A858" t="s">
        <v>53</v>
      </c>
      <c r="B858" t="s">
        <v>15</v>
      </c>
      <c r="C858" t="s">
        <v>18</v>
      </c>
      <c r="D858" s="1">
        <v>44774</v>
      </c>
      <c r="E858" s="1" t="str">
        <f>TEXT(Sales[[#This Row],[Date]],"mmm")</f>
        <v>Aug</v>
      </c>
      <c r="F858" s="1" t="str">
        <f t="shared" si="26"/>
        <v>2022</v>
      </c>
      <c r="G858" s="1" t="str">
        <f t="shared" si="27"/>
        <v>Mon</v>
      </c>
      <c r="H858" s="7">
        <v>4326</v>
      </c>
      <c r="I858" s="6">
        <v>154</v>
      </c>
    </row>
    <row r="859" spans="1:9" x14ac:dyDescent="0.25">
      <c r="A859" t="s">
        <v>28</v>
      </c>
      <c r="B859" t="s">
        <v>15</v>
      </c>
      <c r="C859" t="s">
        <v>30</v>
      </c>
      <c r="D859" s="1">
        <v>44795</v>
      </c>
      <c r="E859" s="1" t="str">
        <f>TEXT(Sales[[#This Row],[Date]],"mmm")</f>
        <v>Aug</v>
      </c>
      <c r="F859" s="1" t="str">
        <f t="shared" si="26"/>
        <v>2022</v>
      </c>
      <c r="G859" s="1" t="str">
        <f t="shared" si="27"/>
        <v>Mon</v>
      </c>
      <c r="H859" s="7">
        <v>9527</v>
      </c>
      <c r="I859" s="6">
        <v>222</v>
      </c>
    </row>
    <row r="860" spans="1:9" x14ac:dyDescent="0.25">
      <c r="A860" t="s">
        <v>33</v>
      </c>
      <c r="B860" t="s">
        <v>10</v>
      </c>
      <c r="C860" t="s">
        <v>18</v>
      </c>
      <c r="D860" s="1">
        <v>44764</v>
      </c>
      <c r="E860" s="1" t="str">
        <f>TEXT(Sales[[#This Row],[Date]],"mmm")</f>
        <v>Jul</v>
      </c>
      <c r="F860" s="1" t="str">
        <f t="shared" si="26"/>
        <v>2022</v>
      </c>
      <c r="G860" s="1" t="str">
        <f t="shared" si="27"/>
        <v>Fri</v>
      </c>
      <c r="H860" s="7">
        <v>10766</v>
      </c>
      <c r="I860" s="6">
        <v>157</v>
      </c>
    </row>
    <row r="861" spans="1:9" x14ac:dyDescent="0.25">
      <c r="A861" t="s">
        <v>40</v>
      </c>
      <c r="B861" t="s">
        <v>26</v>
      </c>
      <c r="C861" t="s">
        <v>42</v>
      </c>
      <c r="D861" s="1">
        <v>44679</v>
      </c>
      <c r="E861" s="1" t="str">
        <f>TEXT(Sales[[#This Row],[Date]],"mmm")</f>
        <v>Apr</v>
      </c>
      <c r="F861" s="1" t="str">
        <f t="shared" si="26"/>
        <v>2022</v>
      </c>
      <c r="G861" s="1" t="str">
        <f t="shared" si="27"/>
        <v>Thu</v>
      </c>
      <c r="H861" s="7">
        <v>1288</v>
      </c>
      <c r="I861" s="6">
        <v>27</v>
      </c>
    </row>
    <row r="862" spans="1:9" x14ac:dyDescent="0.25">
      <c r="A862" t="s">
        <v>49</v>
      </c>
      <c r="B862" t="s">
        <v>15</v>
      </c>
      <c r="C862" t="s">
        <v>47</v>
      </c>
      <c r="D862" s="1">
        <v>44711</v>
      </c>
      <c r="E862" s="1" t="str">
        <f>TEXT(Sales[[#This Row],[Date]],"mmm")</f>
        <v>May</v>
      </c>
      <c r="F862" s="1" t="str">
        <f t="shared" si="26"/>
        <v>2022</v>
      </c>
      <c r="G862" s="1" t="str">
        <f t="shared" si="27"/>
        <v>Mon</v>
      </c>
      <c r="H862" s="7">
        <v>4879</v>
      </c>
      <c r="I862" s="6">
        <v>350</v>
      </c>
    </row>
    <row r="863" spans="1:9" x14ac:dyDescent="0.25">
      <c r="A863" t="s">
        <v>55</v>
      </c>
      <c r="B863" t="s">
        <v>26</v>
      </c>
      <c r="C863" t="s">
        <v>37</v>
      </c>
      <c r="D863" s="1">
        <v>44763</v>
      </c>
      <c r="E863" s="1" t="str">
        <f>TEXT(Sales[[#This Row],[Date]],"mmm")</f>
        <v>Jul</v>
      </c>
      <c r="F863" s="1" t="str">
        <f t="shared" si="26"/>
        <v>2022</v>
      </c>
      <c r="G863" s="1" t="str">
        <f t="shared" si="27"/>
        <v>Thu</v>
      </c>
      <c r="H863" s="7">
        <v>2408</v>
      </c>
      <c r="I863" s="6">
        <v>157</v>
      </c>
    </row>
    <row r="864" spans="1:9" x14ac:dyDescent="0.25">
      <c r="A864" t="s">
        <v>14</v>
      </c>
      <c r="B864" t="s">
        <v>7</v>
      </c>
      <c r="C864" t="s">
        <v>57</v>
      </c>
      <c r="D864" s="1">
        <v>44775</v>
      </c>
      <c r="E864" s="1" t="str">
        <f>TEXT(Sales[[#This Row],[Date]],"mmm")</f>
        <v>Aug</v>
      </c>
      <c r="F864" s="1" t="str">
        <f t="shared" si="26"/>
        <v>2022</v>
      </c>
      <c r="G864" s="1" t="str">
        <f t="shared" si="27"/>
        <v>Tue</v>
      </c>
      <c r="H864" s="7">
        <v>3094</v>
      </c>
      <c r="I864" s="6">
        <v>468</v>
      </c>
    </row>
    <row r="865" spans="1:9" x14ac:dyDescent="0.25">
      <c r="A865" t="s">
        <v>23</v>
      </c>
      <c r="B865" t="s">
        <v>21</v>
      </c>
      <c r="C865" t="s">
        <v>58</v>
      </c>
      <c r="D865" s="1">
        <v>44727</v>
      </c>
      <c r="E865" s="1" t="str">
        <f>TEXT(Sales[[#This Row],[Date]],"mmm")</f>
        <v>Jun</v>
      </c>
      <c r="F865" s="1" t="str">
        <f t="shared" si="26"/>
        <v>2022</v>
      </c>
      <c r="G865" s="1" t="str">
        <f t="shared" si="27"/>
        <v>Wed</v>
      </c>
      <c r="H865" s="7">
        <v>7231</v>
      </c>
      <c r="I865" s="6">
        <v>130</v>
      </c>
    </row>
    <row r="866" spans="1:9" x14ac:dyDescent="0.25">
      <c r="A866" t="s">
        <v>17</v>
      </c>
      <c r="B866" t="s">
        <v>10</v>
      </c>
      <c r="C866" t="s">
        <v>11</v>
      </c>
      <c r="D866" s="1">
        <v>44747</v>
      </c>
      <c r="E866" s="1" t="str">
        <f>TEXT(Sales[[#This Row],[Date]],"mmm")</f>
        <v>Jul</v>
      </c>
      <c r="F866" s="1" t="str">
        <f t="shared" si="26"/>
        <v>2022</v>
      </c>
      <c r="G866" s="1" t="str">
        <f t="shared" si="27"/>
        <v>Tue</v>
      </c>
      <c r="H866" s="7">
        <v>8981</v>
      </c>
      <c r="I866" s="6">
        <v>130</v>
      </c>
    </row>
    <row r="867" spans="1:9" x14ac:dyDescent="0.25">
      <c r="A867" t="s">
        <v>41</v>
      </c>
      <c r="B867" t="s">
        <v>21</v>
      </c>
      <c r="C867" t="s">
        <v>16</v>
      </c>
      <c r="D867" s="1">
        <v>44663</v>
      </c>
      <c r="E867" s="1" t="str">
        <f>TEXT(Sales[[#This Row],[Date]],"mmm")</f>
        <v>Apr</v>
      </c>
      <c r="F867" s="1" t="str">
        <f t="shared" si="26"/>
        <v>2022</v>
      </c>
      <c r="G867" s="1" t="str">
        <f t="shared" si="27"/>
        <v>Tue</v>
      </c>
      <c r="H867" s="7">
        <v>7</v>
      </c>
      <c r="I867" s="6">
        <v>518</v>
      </c>
    </row>
    <row r="868" spans="1:9" x14ac:dyDescent="0.25">
      <c r="A868" t="s">
        <v>12</v>
      </c>
      <c r="B868" t="s">
        <v>15</v>
      </c>
      <c r="C868" t="s">
        <v>58</v>
      </c>
      <c r="D868" s="1">
        <v>44791</v>
      </c>
      <c r="E868" s="1" t="str">
        <f>TEXT(Sales[[#This Row],[Date]],"mmm")</f>
        <v>Aug</v>
      </c>
      <c r="F868" s="1" t="str">
        <f t="shared" si="26"/>
        <v>2022</v>
      </c>
      <c r="G868" s="1" t="str">
        <f t="shared" si="27"/>
        <v>Thu</v>
      </c>
      <c r="H868" s="7">
        <v>1372</v>
      </c>
      <c r="I868" s="6">
        <v>105</v>
      </c>
    </row>
    <row r="869" spans="1:9" x14ac:dyDescent="0.25">
      <c r="A869" t="s">
        <v>14</v>
      </c>
      <c r="B869" t="s">
        <v>7</v>
      </c>
      <c r="C869" t="s">
        <v>22</v>
      </c>
      <c r="D869" s="1">
        <v>44573</v>
      </c>
      <c r="E869" s="1" t="str">
        <f>TEXT(Sales[[#This Row],[Date]],"mmm")</f>
        <v>Jan</v>
      </c>
      <c r="F869" s="1" t="str">
        <f t="shared" si="26"/>
        <v>2022</v>
      </c>
      <c r="G869" s="1" t="str">
        <f t="shared" si="27"/>
        <v>Wed</v>
      </c>
      <c r="H869" s="7">
        <v>5250</v>
      </c>
      <c r="I869" s="6">
        <v>293</v>
      </c>
    </row>
    <row r="870" spans="1:9" x14ac:dyDescent="0.25">
      <c r="A870" t="s">
        <v>19</v>
      </c>
      <c r="B870" t="s">
        <v>29</v>
      </c>
      <c r="C870" t="s">
        <v>44</v>
      </c>
      <c r="D870" s="1">
        <v>44784</v>
      </c>
      <c r="E870" s="1" t="str">
        <f>TEXT(Sales[[#This Row],[Date]],"mmm")</f>
        <v>Aug</v>
      </c>
      <c r="F870" s="1" t="str">
        <f t="shared" si="26"/>
        <v>2022</v>
      </c>
      <c r="G870" s="1" t="str">
        <f t="shared" si="27"/>
        <v>Thu</v>
      </c>
      <c r="H870" s="7">
        <v>7560</v>
      </c>
      <c r="I870" s="6">
        <v>15</v>
      </c>
    </row>
    <row r="871" spans="1:9" x14ac:dyDescent="0.25">
      <c r="A871" t="s">
        <v>6</v>
      </c>
      <c r="B871" t="s">
        <v>15</v>
      </c>
      <c r="C871" t="s">
        <v>39</v>
      </c>
      <c r="D871" s="1">
        <v>44574</v>
      </c>
      <c r="E871" s="1" t="str">
        <f>TEXT(Sales[[#This Row],[Date]],"mmm")</f>
        <v>Jan</v>
      </c>
      <c r="F871" s="1" t="str">
        <f t="shared" si="26"/>
        <v>2022</v>
      </c>
      <c r="G871" s="1" t="str">
        <f t="shared" si="27"/>
        <v>Thu</v>
      </c>
      <c r="H871" s="7">
        <v>5012</v>
      </c>
      <c r="I871" s="6">
        <v>384</v>
      </c>
    </row>
    <row r="872" spans="1:9" x14ac:dyDescent="0.25">
      <c r="A872" t="s">
        <v>40</v>
      </c>
      <c r="B872" t="s">
        <v>7</v>
      </c>
      <c r="C872" t="s">
        <v>56</v>
      </c>
      <c r="D872" s="1">
        <v>44680</v>
      </c>
      <c r="E872" s="1" t="str">
        <f>TEXT(Sales[[#This Row],[Date]],"mmm")</f>
        <v>Apr</v>
      </c>
      <c r="F872" s="1" t="str">
        <f t="shared" si="26"/>
        <v>2022</v>
      </c>
      <c r="G872" s="1" t="str">
        <f t="shared" si="27"/>
        <v>Fri</v>
      </c>
      <c r="H872" s="7">
        <v>3038</v>
      </c>
      <c r="I872" s="6">
        <v>135</v>
      </c>
    </row>
    <row r="873" spans="1:9" x14ac:dyDescent="0.25">
      <c r="A873" t="s">
        <v>24</v>
      </c>
      <c r="B873" t="s">
        <v>21</v>
      </c>
      <c r="C873" t="s">
        <v>20</v>
      </c>
      <c r="D873" s="1">
        <v>44749</v>
      </c>
      <c r="E873" s="1" t="str">
        <f>TEXT(Sales[[#This Row],[Date]],"mmm")</f>
        <v>Jul</v>
      </c>
      <c r="F873" s="1" t="str">
        <f t="shared" si="26"/>
        <v>2022</v>
      </c>
      <c r="G873" s="1" t="str">
        <f t="shared" si="27"/>
        <v>Thu</v>
      </c>
      <c r="H873" s="7">
        <v>1099</v>
      </c>
      <c r="I873" s="6">
        <v>92</v>
      </c>
    </row>
    <row r="874" spans="1:9" x14ac:dyDescent="0.25">
      <c r="A874" t="s">
        <v>53</v>
      </c>
      <c r="B874" t="s">
        <v>21</v>
      </c>
      <c r="C874" t="s">
        <v>8</v>
      </c>
      <c r="D874" s="1">
        <v>44631</v>
      </c>
      <c r="E874" s="1" t="str">
        <f>TEXT(Sales[[#This Row],[Date]],"mmm")</f>
        <v>Mar</v>
      </c>
      <c r="F874" s="1" t="str">
        <f t="shared" si="26"/>
        <v>2022</v>
      </c>
      <c r="G874" s="1" t="str">
        <f t="shared" si="27"/>
        <v>Fri</v>
      </c>
      <c r="H874" s="7">
        <v>7413</v>
      </c>
      <c r="I874" s="6">
        <v>4</v>
      </c>
    </row>
    <row r="875" spans="1:9" x14ac:dyDescent="0.25">
      <c r="A875" t="s">
        <v>53</v>
      </c>
      <c r="B875" t="s">
        <v>7</v>
      </c>
      <c r="C875" t="s">
        <v>58</v>
      </c>
      <c r="D875" s="1">
        <v>44608</v>
      </c>
      <c r="E875" s="1" t="str">
        <f>TEXT(Sales[[#This Row],[Date]],"mmm")</f>
        <v>Feb</v>
      </c>
      <c r="F875" s="1" t="str">
        <f t="shared" si="26"/>
        <v>2022</v>
      </c>
      <c r="G875" s="1" t="str">
        <f t="shared" si="27"/>
        <v>Wed</v>
      </c>
      <c r="H875" s="7">
        <v>5397</v>
      </c>
      <c r="I875" s="6">
        <v>239</v>
      </c>
    </row>
    <row r="876" spans="1:9" x14ac:dyDescent="0.25">
      <c r="A876" t="s">
        <v>25</v>
      </c>
      <c r="B876" t="s">
        <v>15</v>
      </c>
      <c r="C876" t="s">
        <v>35</v>
      </c>
      <c r="D876" s="1">
        <v>44568</v>
      </c>
      <c r="E876" s="1" t="str">
        <f>TEXT(Sales[[#This Row],[Date]],"mmm")</f>
        <v>Jan</v>
      </c>
      <c r="F876" s="1" t="str">
        <f t="shared" si="26"/>
        <v>2022</v>
      </c>
      <c r="G876" s="1" t="str">
        <f t="shared" si="27"/>
        <v>Fri</v>
      </c>
      <c r="H876" s="7">
        <v>2303</v>
      </c>
      <c r="I876" s="6">
        <v>33</v>
      </c>
    </row>
    <row r="877" spans="1:9" x14ac:dyDescent="0.25">
      <c r="A877" t="s">
        <v>34</v>
      </c>
      <c r="B877" t="s">
        <v>21</v>
      </c>
      <c r="C877" t="s">
        <v>32</v>
      </c>
      <c r="D877" s="1">
        <v>44573</v>
      </c>
      <c r="E877" s="1" t="str">
        <f>TEXT(Sales[[#This Row],[Date]],"mmm")</f>
        <v>Jan</v>
      </c>
      <c r="F877" s="1" t="str">
        <f t="shared" si="26"/>
        <v>2022</v>
      </c>
      <c r="G877" s="1" t="str">
        <f t="shared" si="27"/>
        <v>Wed</v>
      </c>
      <c r="H877" s="7">
        <v>1141</v>
      </c>
      <c r="I877" s="6">
        <v>518</v>
      </c>
    </row>
    <row r="878" spans="1:9" x14ac:dyDescent="0.25">
      <c r="A878" t="s">
        <v>34</v>
      </c>
      <c r="B878" t="s">
        <v>10</v>
      </c>
      <c r="C878" t="s">
        <v>30</v>
      </c>
      <c r="D878" s="1">
        <v>44721</v>
      </c>
      <c r="E878" s="1" t="str">
        <f>TEXT(Sales[[#This Row],[Date]],"mmm")</f>
        <v>Jun</v>
      </c>
      <c r="F878" s="1" t="str">
        <f t="shared" si="26"/>
        <v>2022</v>
      </c>
      <c r="G878" s="1" t="str">
        <f t="shared" si="27"/>
        <v>Thu</v>
      </c>
      <c r="H878" s="7">
        <v>10325</v>
      </c>
      <c r="I878" s="6">
        <v>147</v>
      </c>
    </row>
    <row r="879" spans="1:9" x14ac:dyDescent="0.25">
      <c r="A879" t="s">
        <v>48</v>
      </c>
      <c r="B879" t="s">
        <v>10</v>
      </c>
      <c r="C879" t="s">
        <v>30</v>
      </c>
      <c r="D879" s="1">
        <v>44697</v>
      </c>
      <c r="E879" s="1" t="str">
        <f>TEXT(Sales[[#This Row],[Date]],"mmm")</f>
        <v>May</v>
      </c>
      <c r="F879" s="1" t="str">
        <f t="shared" si="26"/>
        <v>2022</v>
      </c>
      <c r="G879" s="1" t="str">
        <f t="shared" si="27"/>
        <v>Mon</v>
      </c>
      <c r="H879" s="7">
        <v>2149</v>
      </c>
      <c r="I879" s="6">
        <v>84</v>
      </c>
    </row>
    <row r="880" spans="1:9" x14ac:dyDescent="0.25">
      <c r="A880" t="s">
        <v>12</v>
      </c>
      <c r="B880" t="s">
        <v>7</v>
      </c>
      <c r="C880" t="s">
        <v>11</v>
      </c>
      <c r="D880" s="1">
        <v>44735</v>
      </c>
      <c r="E880" s="1" t="str">
        <f>TEXT(Sales[[#This Row],[Date]],"mmm")</f>
        <v>Jun</v>
      </c>
      <c r="F880" s="1" t="str">
        <f t="shared" si="26"/>
        <v>2022</v>
      </c>
      <c r="G880" s="1" t="str">
        <f t="shared" si="27"/>
        <v>Thu</v>
      </c>
      <c r="H880" s="7">
        <v>12362</v>
      </c>
      <c r="I880" s="6">
        <v>94</v>
      </c>
    </row>
    <row r="881" spans="1:9" x14ac:dyDescent="0.25">
      <c r="A881" t="s">
        <v>36</v>
      </c>
      <c r="B881" t="s">
        <v>7</v>
      </c>
      <c r="C881" t="s">
        <v>51</v>
      </c>
      <c r="D881" s="1">
        <v>44589</v>
      </c>
      <c r="E881" s="1" t="str">
        <f>TEXT(Sales[[#This Row],[Date]],"mmm")</f>
        <v>Jan</v>
      </c>
      <c r="F881" s="1" t="str">
        <f t="shared" si="26"/>
        <v>2022</v>
      </c>
      <c r="G881" s="1" t="str">
        <f t="shared" si="27"/>
        <v>Fri</v>
      </c>
      <c r="H881" s="7">
        <v>12635</v>
      </c>
      <c r="I881" s="6">
        <v>194</v>
      </c>
    </row>
    <row r="882" spans="1:9" x14ac:dyDescent="0.25">
      <c r="A882" t="s">
        <v>54</v>
      </c>
      <c r="B882" t="s">
        <v>7</v>
      </c>
      <c r="C882" t="s">
        <v>8</v>
      </c>
      <c r="D882" s="1">
        <v>44756</v>
      </c>
      <c r="E882" s="1" t="str">
        <f>TEXT(Sales[[#This Row],[Date]],"mmm")</f>
        <v>Jul</v>
      </c>
      <c r="F882" s="1" t="str">
        <f t="shared" si="26"/>
        <v>2022</v>
      </c>
      <c r="G882" s="1" t="str">
        <f t="shared" si="27"/>
        <v>Thu</v>
      </c>
      <c r="H882" s="7">
        <v>2443</v>
      </c>
      <c r="I882" s="6">
        <v>216</v>
      </c>
    </row>
    <row r="883" spans="1:9" x14ac:dyDescent="0.25">
      <c r="A883" t="s">
        <v>25</v>
      </c>
      <c r="B883" t="s">
        <v>29</v>
      </c>
      <c r="C883" t="s">
        <v>32</v>
      </c>
      <c r="D883" s="1">
        <v>44669</v>
      </c>
      <c r="E883" s="1" t="str">
        <f>TEXT(Sales[[#This Row],[Date]],"mmm")</f>
        <v>Apr</v>
      </c>
      <c r="F883" s="1" t="str">
        <f t="shared" si="26"/>
        <v>2022</v>
      </c>
      <c r="G883" s="1" t="str">
        <f t="shared" si="27"/>
        <v>Mon</v>
      </c>
      <c r="H883" s="7">
        <v>6237</v>
      </c>
      <c r="I883" s="6">
        <v>247</v>
      </c>
    </row>
    <row r="884" spans="1:9" x14ac:dyDescent="0.25">
      <c r="A884" t="s">
        <v>17</v>
      </c>
      <c r="B884" t="s">
        <v>26</v>
      </c>
      <c r="C884" t="s">
        <v>37</v>
      </c>
      <c r="D884" s="1">
        <v>44726</v>
      </c>
      <c r="E884" s="1" t="str">
        <f>TEXT(Sales[[#This Row],[Date]],"mmm")</f>
        <v>Jun</v>
      </c>
      <c r="F884" s="1" t="str">
        <f t="shared" si="26"/>
        <v>2022</v>
      </c>
      <c r="G884" s="1" t="str">
        <f t="shared" si="27"/>
        <v>Tue</v>
      </c>
      <c r="H884" s="7">
        <v>1736</v>
      </c>
      <c r="I884" s="6">
        <v>79</v>
      </c>
    </row>
    <row r="885" spans="1:9" x14ac:dyDescent="0.25">
      <c r="A885" t="s">
        <v>17</v>
      </c>
      <c r="B885" t="s">
        <v>7</v>
      </c>
      <c r="C885" t="s">
        <v>27</v>
      </c>
      <c r="D885" s="1">
        <v>44666</v>
      </c>
      <c r="E885" s="1" t="str">
        <f>TEXT(Sales[[#This Row],[Date]],"mmm")</f>
        <v>Apr</v>
      </c>
      <c r="F885" s="1" t="str">
        <f t="shared" si="26"/>
        <v>2022</v>
      </c>
      <c r="G885" s="1" t="str">
        <f t="shared" si="27"/>
        <v>Fri</v>
      </c>
      <c r="H885" s="7">
        <v>7315</v>
      </c>
      <c r="I885" s="6">
        <v>237</v>
      </c>
    </row>
    <row r="886" spans="1:9" x14ac:dyDescent="0.25">
      <c r="A886" t="s">
        <v>38</v>
      </c>
      <c r="B886" t="s">
        <v>29</v>
      </c>
      <c r="C886" t="s">
        <v>13</v>
      </c>
      <c r="D886" s="1">
        <v>44700</v>
      </c>
      <c r="E886" s="1" t="str">
        <f>TEXT(Sales[[#This Row],[Date]],"mmm")</f>
        <v>May</v>
      </c>
      <c r="F886" s="1" t="str">
        <f t="shared" si="26"/>
        <v>2022</v>
      </c>
      <c r="G886" s="1" t="str">
        <f t="shared" si="27"/>
        <v>Thu</v>
      </c>
      <c r="H886" s="7">
        <v>4935</v>
      </c>
      <c r="I886" s="6">
        <v>63</v>
      </c>
    </row>
    <row r="887" spans="1:9" x14ac:dyDescent="0.25">
      <c r="A887" t="s">
        <v>12</v>
      </c>
      <c r="B887" t="s">
        <v>10</v>
      </c>
      <c r="C887" t="s">
        <v>44</v>
      </c>
      <c r="D887" s="1">
        <v>44664</v>
      </c>
      <c r="E887" s="1" t="str">
        <f>TEXT(Sales[[#This Row],[Date]],"mmm")</f>
        <v>Apr</v>
      </c>
      <c r="F887" s="1" t="str">
        <f t="shared" si="26"/>
        <v>2022</v>
      </c>
      <c r="G887" s="1" t="str">
        <f t="shared" si="27"/>
        <v>Wed</v>
      </c>
      <c r="H887" s="7">
        <v>1393</v>
      </c>
      <c r="I887" s="6">
        <v>172</v>
      </c>
    </row>
    <row r="888" spans="1:9" x14ac:dyDescent="0.25">
      <c r="A888" t="s">
        <v>40</v>
      </c>
      <c r="B888" t="s">
        <v>29</v>
      </c>
      <c r="C888" t="s">
        <v>52</v>
      </c>
      <c r="D888" s="1">
        <v>44788</v>
      </c>
      <c r="E888" s="1" t="str">
        <f>TEXT(Sales[[#This Row],[Date]],"mmm")</f>
        <v>Aug</v>
      </c>
      <c r="F888" s="1" t="str">
        <f t="shared" si="26"/>
        <v>2022</v>
      </c>
      <c r="G888" s="1" t="str">
        <f t="shared" si="27"/>
        <v>Mon</v>
      </c>
      <c r="H888" s="7">
        <v>3381</v>
      </c>
      <c r="I888" s="6">
        <v>408</v>
      </c>
    </row>
    <row r="889" spans="1:9" x14ac:dyDescent="0.25">
      <c r="A889" t="s">
        <v>46</v>
      </c>
      <c r="B889" t="s">
        <v>10</v>
      </c>
      <c r="C889" t="s">
        <v>52</v>
      </c>
      <c r="D889" s="1">
        <v>44795</v>
      </c>
      <c r="E889" s="1" t="str">
        <f>TEXT(Sales[[#This Row],[Date]],"mmm")</f>
        <v>Aug</v>
      </c>
      <c r="F889" s="1" t="str">
        <f t="shared" si="26"/>
        <v>2022</v>
      </c>
      <c r="G889" s="1" t="str">
        <f t="shared" si="27"/>
        <v>Mon</v>
      </c>
      <c r="H889" s="7">
        <v>2933</v>
      </c>
      <c r="I889" s="6">
        <v>233</v>
      </c>
    </row>
    <row r="890" spans="1:9" x14ac:dyDescent="0.25">
      <c r="A890" t="s">
        <v>46</v>
      </c>
      <c r="B890" t="s">
        <v>21</v>
      </c>
      <c r="C890" t="s">
        <v>56</v>
      </c>
      <c r="D890" s="1">
        <v>44673</v>
      </c>
      <c r="E890" s="1" t="str">
        <f>TEXT(Sales[[#This Row],[Date]],"mmm")</f>
        <v>Apr</v>
      </c>
      <c r="F890" s="1" t="str">
        <f t="shared" si="26"/>
        <v>2022</v>
      </c>
      <c r="G890" s="1" t="str">
        <f t="shared" si="27"/>
        <v>Fri</v>
      </c>
      <c r="H890" s="7">
        <v>3836</v>
      </c>
      <c r="I890" s="6">
        <v>59</v>
      </c>
    </row>
    <row r="891" spans="1:9" x14ac:dyDescent="0.25">
      <c r="A891" t="s">
        <v>41</v>
      </c>
      <c r="B891" t="s">
        <v>7</v>
      </c>
      <c r="C891" t="s">
        <v>52</v>
      </c>
      <c r="D891" s="1">
        <v>44776</v>
      </c>
      <c r="E891" s="1" t="str">
        <f>TEXT(Sales[[#This Row],[Date]],"mmm")</f>
        <v>Aug</v>
      </c>
      <c r="F891" s="1" t="str">
        <f t="shared" si="26"/>
        <v>2022</v>
      </c>
      <c r="G891" s="1" t="str">
        <f t="shared" si="27"/>
        <v>Wed</v>
      </c>
      <c r="H891" s="7">
        <v>8022</v>
      </c>
      <c r="I891" s="6">
        <v>123</v>
      </c>
    </row>
    <row r="892" spans="1:9" x14ac:dyDescent="0.25">
      <c r="A892" t="s">
        <v>43</v>
      </c>
      <c r="B892" t="s">
        <v>21</v>
      </c>
      <c r="C892" t="s">
        <v>35</v>
      </c>
      <c r="D892" s="1">
        <v>44565</v>
      </c>
      <c r="E892" s="1" t="str">
        <f>TEXT(Sales[[#This Row],[Date]],"mmm")</f>
        <v>Jan</v>
      </c>
      <c r="F892" s="1" t="str">
        <f t="shared" si="26"/>
        <v>2022</v>
      </c>
      <c r="G892" s="1" t="str">
        <f t="shared" si="27"/>
        <v>Tue</v>
      </c>
      <c r="H892" s="7">
        <v>371</v>
      </c>
      <c r="I892" s="6">
        <v>229</v>
      </c>
    </row>
    <row r="893" spans="1:9" x14ac:dyDescent="0.25">
      <c r="A893" t="s">
        <v>49</v>
      </c>
      <c r="B893" t="s">
        <v>29</v>
      </c>
      <c r="C893" t="s">
        <v>20</v>
      </c>
      <c r="D893" s="1">
        <v>44574</v>
      </c>
      <c r="E893" s="1" t="str">
        <f>TEXT(Sales[[#This Row],[Date]],"mmm")</f>
        <v>Jan</v>
      </c>
      <c r="F893" s="1" t="str">
        <f t="shared" si="26"/>
        <v>2022</v>
      </c>
      <c r="G893" s="1" t="str">
        <f t="shared" si="27"/>
        <v>Thu</v>
      </c>
      <c r="H893" s="7">
        <v>16702</v>
      </c>
      <c r="I893" s="6">
        <v>198</v>
      </c>
    </row>
    <row r="894" spans="1:9" x14ac:dyDescent="0.25">
      <c r="A894" t="s">
        <v>9</v>
      </c>
      <c r="B894" t="s">
        <v>15</v>
      </c>
      <c r="C894" t="s">
        <v>56</v>
      </c>
      <c r="D894" s="1">
        <v>44692</v>
      </c>
      <c r="E894" s="1" t="str">
        <f>TEXT(Sales[[#This Row],[Date]],"mmm")</f>
        <v>May</v>
      </c>
      <c r="F894" s="1" t="str">
        <f t="shared" si="26"/>
        <v>2022</v>
      </c>
      <c r="G894" s="1" t="str">
        <f t="shared" si="27"/>
        <v>Wed</v>
      </c>
      <c r="H894" s="7">
        <v>13258</v>
      </c>
      <c r="I894" s="6">
        <v>32</v>
      </c>
    </row>
    <row r="895" spans="1:9" x14ac:dyDescent="0.25">
      <c r="A895" t="s">
        <v>40</v>
      </c>
      <c r="B895" t="s">
        <v>21</v>
      </c>
      <c r="C895" t="s">
        <v>13</v>
      </c>
      <c r="D895" s="1">
        <v>44608</v>
      </c>
      <c r="E895" s="1" t="str">
        <f>TEXT(Sales[[#This Row],[Date]],"mmm")</f>
        <v>Feb</v>
      </c>
      <c r="F895" s="1" t="str">
        <f t="shared" si="26"/>
        <v>2022</v>
      </c>
      <c r="G895" s="1" t="str">
        <f t="shared" si="27"/>
        <v>Wed</v>
      </c>
      <c r="H895" s="7">
        <v>2058</v>
      </c>
      <c r="I895" s="6">
        <v>236</v>
      </c>
    </row>
    <row r="896" spans="1:9" x14ac:dyDescent="0.25">
      <c r="A896" t="s">
        <v>41</v>
      </c>
      <c r="B896" t="s">
        <v>7</v>
      </c>
      <c r="C896" t="s">
        <v>57</v>
      </c>
      <c r="D896" s="1">
        <v>44701</v>
      </c>
      <c r="E896" s="1" t="str">
        <f>TEXT(Sales[[#This Row],[Date]],"mmm")</f>
        <v>May</v>
      </c>
      <c r="F896" s="1" t="str">
        <f t="shared" si="26"/>
        <v>2022</v>
      </c>
      <c r="G896" s="1" t="str">
        <f t="shared" si="27"/>
        <v>Fri</v>
      </c>
      <c r="H896" s="7">
        <v>10192</v>
      </c>
      <c r="I896" s="6">
        <v>67</v>
      </c>
    </row>
    <row r="897" spans="1:9" x14ac:dyDescent="0.25">
      <c r="A897" t="s">
        <v>6</v>
      </c>
      <c r="B897" t="s">
        <v>7</v>
      </c>
      <c r="C897" t="s">
        <v>32</v>
      </c>
      <c r="D897" s="1">
        <v>44595</v>
      </c>
      <c r="E897" s="1" t="str">
        <f>TEXT(Sales[[#This Row],[Date]],"mmm")</f>
        <v>Feb</v>
      </c>
      <c r="F897" s="1" t="str">
        <f t="shared" si="26"/>
        <v>2022</v>
      </c>
      <c r="G897" s="1" t="str">
        <f t="shared" si="27"/>
        <v>Thu</v>
      </c>
      <c r="H897" s="7">
        <v>7140</v>
      </c>
      <c r="I897" s="6">
        <v>438</v>
      </c>
    </row>
    <row r="898" spans="1:9" x14ac:dyDescent="0.25">
      <c r="A898" t="s">
        <v>34</v>
      </c>
      <c r="B898" t="s">
        <v>10</v>
      </c>
      <c r="C898" t="s">
        <v>45</v>
      </c>
      <c r="D898" s="1">
        <v>44687</v>
      </c>
      <c r="E898" s="1" t="str">
        <f>TEXT(Sales[[#This Row],[Date]],"mmm")</f>
        <v>May</v>
      </c>
      <c r="F898" s="1" t="str">
        <f t="shared" ref="F898:F961" si="28">TEXT(D:D,"yyyy")</f>
        <v>2022</v>
      </c>
      <c r="G898" s="1" t="str">
        <f t="shared" ref="G898:G961" si="29">TEXT(D:D,"ddd")</f>
        <v>Fri</v>
      </c>
      <c r="H898" s="7">
        <v>9835</v>
      </c>
      <c r="I898" s="6">
        <v>167</v>
      </c>
    </row>
    <row r="899" spans="1:9" x14ac:dyDescent="0.25">
      <c r="A899" t="s">
        <v>19</v>
      </c>
      <c r="B899" t="s">
        <v>7</v>
      </c>
      <c r="C899" t="s">
        <v>52</v>
      </c>
      <c r="D899" s="1">
        <v>44742</v>
      </c>
      <c r="E899" s="1" t="str">
        <f>TEXT(Sales[[#This Row],[Date]],"mmm")</f>
        <v>Jun</v>
      </c>
      <c r="F899" s="1" t="str">
        <f t="shared" si="28"/>
        <v>2022</v>
      </c>
      <c r="G899" s="1" t="str">
        <f t="shared" si="29"/>
        <v>Thu</v>
      </c>
      <c r="H899" s="7">
        <v>5775</v>
      </c>
      <c r="I899" s="6">
        <v>135</v>
      </c>
    </row>
    <row r="900" spans="1:9" x14ac:dyDescent="0.25">
      <c r="A900" t="s">
        <v>19</v>
      </c>
      <c r="B900" t="s">
        <v>7</v>
      </c>
      <c r="C900" t="s">
        <v>16</v>
      </c>
      <c r="D900" s="1">
        <v>44642</v>
      </c>
      <c r="E900" s="1" t="str">
        <f>TEXT(Sales[[#This Row],[Date]],"mmm")</f>
        <v>Mar</v>
      </c>
      <c r="F900" s="1" t="str">
        <f t="shared" si="28"/>
        <v>2022</v>
      </c>
      <c r="G900" s="1" t="str">
        <f t="shared" si="29"/>
        <v>Tue</v>
      </c>
      <c r="H900" s="7">
        <v>749</v>
      </c>
      <c r="I900" s="6">
        <v>148</v>
      </c>
    </row>
    <row r="901" spans="1:9" x14ac:dyDescent="0.25">
      <c r="A901" t="s">
        <v>50</v>
      </c>
      <c r="B901" t="s">
        <v>29</v>
      </c>
      <c r="C901" t="s">
        <v>27</v>
      </c>
      <c r="D901" s="1">
        <v>44609</v>
      </c>
      <c r="E901" s="1" t="str">
        <f>TEXT(Sales[[#This Row],[Date]],"mmm")</f>
        <v>Feb</v>
      </c>
      <c r="F901" s="1" t="str">
        <f t="shared" si="28"/>
        <v>2022</v>
      </c>
      <c r="G901" s="1" t="str">
        <f t="shared" si="29"/>
        <v>Thu</v>
      </c>
      <c r="H901" s="7">
        <v>7770</v>
      </c>
      <c r="I901" s="6">
        <v>54</v>
      </c>
    </row>
    <row r="902" spans="1:9" x14ac:dyDescent="0.25">
      <c r="A902" t="s">
        <v>6</v>
      </c>
      <c r="B902" t="s">
        <v>7</v>
      </c>
      <c r="C902" t="s">
        <v>11</v>
      </c>
      <c r="D902" s="1">
        <v>44749</v>
      </c>
      <c r="E902" s="1" t="str">
        <f>TEXT(Sales[[#This Row],[Date]],"mmm")</f>
        <v>Jul</v>
      </c>
      <c r="F902" s="1" t="str">
        <f t="shared" si="28"/>
        <v>2022</v>
      </c>
      <c r="G902" s="1" t="str">
        <f t="shared" si="29"/>
        <v>Thu</v>
      </c>
      <c r="H902" s="7">
        <v>5502</v>
      </c>
      <c r="I902" s="6">
        <v>64</v>
      </c>
    </row>
    <row r="903" spans="1:9" x14ac:dyDescent="0.25">
      <c r="A903" t="s">
        <v>17</v>
      </c>
      <c r="B903" t="s">
        <v>7</v>
      </c>
      <c r="C903" t="s">
        <v>58</v>
      </c>
      <c r="D903" s="1">
        <v>44636</v>
      </c>
      <c r="E903" s="1" t="str">
        <f>TEXT(Sales[[#This Row],[Date]],"mmm")</f>
        <v>Mar</v>
      </c>
      <c r="F903" s="1" t="str">
        <f t="shared" si="28"/>
        <v>2022</v>
      </c>
      <c r="G903" s="1" t="str">
        <f t="shared" si="29"/>
        <v>Wed</v>
      </c>
      <c r="H903" s="7">
        <v>6223</v>
      </c>
      <c r="I903" s="6">
        <v>181</v>
      </c>
    </row>
    <row r="904" spans="1:9" x14ac:dyDescent="0.25">
      <c r="A904" t="s">
        <v>49</v>
      </c>
      <c r="B904" t="s">
        <v>7</v>
      </c>
      <c r="C904" t="s">
        <v>18</v>
      </c>
      <c r="D904" s="1">
        <v>44785</v>
      </c>
      <c r="E904" s="1" t="str">
        <f>TEXT(Sales[[#This Row],[Date]],"mmm")</f>
        <v>Aug</v>
      </c>
      <c r="F904" s="1" t="str">
        <f t="shared" si="28"/>
        <v>2022</v>
      </c>
      <c r="G904" s="1" t="str">
        <f t="shared" si="29"/>
        <v>Fri</v>
      </c>
      <c r="H904" s="7">
        <v>3507</v>
      </c>
      <c r="I904" s="6">
        <v>114</v>
      </c>
    </row>
    <row r="905" spans="1:9" x14ac:dyDescent="0.25">
      <c r="A905" t="s">
        <v>12</v>
      </c>
      <c r="B905" t="s">
        <v>21</v>
      </c>
      <c r="C905" t="s">
        <v>20</v>
      </c>
      <c r="D905" s="1">
        <v>44582</v>
      </c>
      <c r="E905" s="1" t="str">
        <f>TEXT(Sales[[#This Row],[Date]],"mmm")</f>
        <v>Jan</v>
      </c>
      <c r="F905" s="1" t="str">
        <f t="shared" si="28"/>
        <v>2022</v>
      </c>
      <c r="G905" s="1" t="str">
        <f t="shared" si="29"/>
        <v>Fri</v>
      </c>
      <c r="H905" s="7">
        <v>5600</v>
      </c>
      <c r="I905" s="6">
        <v>181</v>
      </c>
    </row>
    <row r="906" spans="1:9" x14ac:dyDescent="0.25">
      <c r="A906" t="s">
        <v>17</v>
      </c>
      <c r="B906" t="s">
        <v>15</v>
      </c>
      <c r="C906" t="s">
        <v>22</v>
      </c>
      <c r="D906" s="1">
        <v>44687</v>
      </c>
      <c r="E906" s="1" t="str">
        <f>TEXT(Sales[[#This Row],[Date]],"mmm")</f>
        <v>May</v>
      </c>
      <c r="F906" s="1" t="str">
        <f t="shared" si="28"/>
        <v>2022</v>
      </c>
      <c r="G906" s="1" t="str">
        <f t="shared" si="29"/>
        <v>Fri</v>
      </c>
      <c r="H906" s="7">
        <v>721</v>
      </c>
      <c r="I906" s="6">
        <v>151</v>
      </c>
    </row>
    <row r="907" spans="1:9" x14ac:dyDescent="0.25">
      <c r="A907" t="s">
        <v>17</v>
      </c>
      <c r="B907" t="s">
        <v>29</v>
      </c>
      <c r="C907" t="s">
        <v>22</v>
      </c>
      <c r="D907" s="1">
        <v>44736</v>
      </c>
      <c r="E907" s="1" t="str">
        <f>TEXT(Sales[[#This Row],[Date]],"mmm")</f>
        <v>Jun</v>
      </c>
      <c r="F907" s="1" t="str">
        <f t="shared" si="28"/>
        <v>2022</v>
      </c>
      <c r="G907" s="1" t="str">
        <f t="shared" si="29"/>
        <v>Fri</v>
      </c>
      <c r="H907" s="7">
        <v>6615</v>
      </c>
      <c r="I907" s="6">
        <v>137</v>
      </c>
    </row>
    <row r="908" spans="1:9" x14ac:dyDescent="0.25">
      <c r="A908" t="s">
        <v>25</v>
      </c>
      <c r="B908" t="s">
        <v>26</v>
      </c>
      <c r="C908" t="s">
        <v>44</v>
      </c>
      <c r="D908" s="1">
        <v>44686</v>
      </c>
      <c r="E908" s="1" t="str">
        <f>TEXT(Sales[[#This Row],[Date]],"mmm")</f>
        <v>May</v>
      </c>
      <c r="F908" s="1" t="str">
        <f t="shared" si="28"/>
        <v>2022</v>
      </c>
      <c r="G908" s="1" t="str">
        <f t="shared" si="29"/>
        <v>Thu</v>
      </c>
      <c r="H908" s="7">
        <v>7420</v>
      </c>
      <c r="I908" s="6">
        <v>163</v>
      </c>
    </row>
    <row r="909" spans="1:9" x14ac:dyDescent="0.25">
      <c r="A909" t="s">
        <v>24</v>
      </c>
      <c r="B909" t="s">
        <v>21</v>
      </c>
      <c r="C909" t="s">
        <v>18</v>
      </c>
      <c r="D909" s="1">
        <v>44645</v>
      </c>
      <c r="E909" s="1" t="str">
        <f>TEXT(Sales[[#This Row],[Date]],"mmm")</f>
        <v>Mar</v>
      </c>
      <c r="F909" s="1" t="str">
        <f t="shared" si="28"/>
        <v>2022</v>
      </c>
      <c r="G909" s="1" t="str">
        <f t="shared" si="29"/>
        <v>Fri</v>
      </c>
      <c r="H909" s="7">
        <v>3164</v>
      </c>
      <c r="I909" s="6">
        <v>84</v>
      </c>
    </row>
    <row r="910" spans="1:9" x14ac:dyDescent="0.25">
      <c r="A910" t="s">
        <v>38</v>
      </c>
      <c r="B910" t="s">
        <v>15</v>
      </c>
      <c r="C910" t="s">
        <v>57</v>
      </c>
      <c r="D910" s="1">
        <v>44606</v>
      </c>
      <c r="E910" s="1" t="str">
        <f>TEXT(Sales[[#This Row],[Date]],"mmm")</f>
        <v>Feb</v>
      </c>
      <c r="F910" s="1" t="str">
        <f t="shared" si="28"/>
        <v>2022</v>
      </c>
      <c r="G910" s="1" t="str">
        <f t="shared" si="29"/>
        <v>Mon</v>
      </c>
      <c r="H910" s="7">
        <v>9114</v>
      </c>
      <c r="I910" s="6">
        <v>140</v>
      </c>
    </row>
    <row r="911" spans="1:9" x14ac:dyDescent="0.25">
      <c r="A911" t="s">
        <v>38</v>
      </c>
      <c r="B911" t="s">
        <v>21</v>
      </c>
      <c r="C911" t="s">
        <v>11</v>
      </c>
      <c r="D911" s="1">
        <v>44693</v>
      </c>
      <c r="E911" s="1" t="str">
        <f>TEXT(Sales[[#This Row],[Date]],"mmm")</f>
        <v>May</v>
      </c>
      <c r="F911" s="1" t="str">
        <f t="shared" si="28"/>
        <v>2022</v>
      </c>
      <c r="G911" s="1" t="str">
        <f t="shared" si="29"/>
        <v>Thu</v>
      </c>
      <c r="H911" s="7">
        <v>5404</v>
      </c>
      <c r="I911" s="6">
        <v>187</v>
      </c>
    </row>
    <row r="912" spans="1:9" x14ac:dyDescent="0.25">
      <c r="A912" t="s">
        <v>25</v>
      </c>
      <c r="B912" t="s">
        <v>21</v>
      </c>
      <c r="C912" t="s">
        <v>16</v>
      </c>
      <c r="D912" s="1">
        <v>44586</v>
      </c>
      <c r="E912" s="1" t="str">
        <f>TEXT(Sales[[#This Row],[Date]],"mmm")</f>
        <v>Jan</v>
      </c>
      <c r="F912" s="1" t="str">
        <f t="shared" si="28"/>
        <v>2022</v>
      </c>
      <c r="G912" s="1" t="str">
        <f t="shared" si="29"/>
        <v>Tue</v>
      </c>
      <c r="H912" s="7">
        <v>3990</v>
      </c>
      <c r="I912" s="6">
        <v>169</v>
      </c>
    </row>
    <row r="913" spans="1:9" x14ac:dyDescent="0.25">
      <c r="A913" t="s">
        <v>55</v>
      </c>
      <c r="B913" t="s">
        <v>7</v>
      </c>
      <c r="C913" t="s">
        <v>11</v>
      </c>
      <c r="D913" s="1">
        <v>44740</v>
      </c>
      <c r="E913" s="1" t="str">
        <f>TEXT(Sales[[#This Row],[Date]],"mmm")</f>
        <v>Jun</v>
      </c>
      <c r="F913" s="1" t="str">
        <f t="shared" si="28"/>
        <v>2022</v>
      </c>
      <c r="G913" s="1" t="str">
        <f t="shared" si="29"/>
        <v>Tue</v>
      </c>
      <c r="H913" s="7">
        <v>14924</v>
      </c>
      <c r="I913" s="6">
        <v>12</v>
      </c>
    </row>
    <row r="914" spans="1:9" x14ac:dyDescent="0.25">
      <c r="A914" t="s">
        <v>43</v>
      </c>
      <c r="B914" t="s">
        <v>15</v>
      </c>
      <c r="C914" t="s">
        <v>32</v>
      </c>
      <c r="D914" s="1">
        <v>44755</v>
      </c>
      <c r="E914" s="1" t="str">
        <f>TEXT(Sales[[#This Row],[Date]],"mmm")</f>
        <v>Jul</v>
      </c>
      <c r="F914" s="1" t="str">
        <f t="shared" si="28"/>
        <v>2022</v>
      </c>
      <c r="G914" s="1" t="str">
        <f t="shared" si="29"/>
        <v>Wed</v>
      </c>
      <c r="H914" s="7">
        <v>7091</v>
      </c>
      <c r="I914" s="6">
        <v>194</v>
      </c>
    </row>
    <row r="915" spans="1:9" x14ac:dyDescent="0.25">
      <c r="A915" t="s">
        <v>36</v>
      </c>
      <c r="B915" t="s">
        <v>26</v>
      </c>
      <c r="C915" t="s">
        <v>37</v>
      </c>
      <c r="D915" s="1">
        <v>44697</v>
      </c>
      <c r="E915" s="1" t="str">
        <f>TEXT(Sales[[#This Row],[Date]],"mmm")</f>
        <v>May</v>
      </c>
      <c r="F915" s="1" t="str">
        <f t="shared" si="28"/>
        <v>2022</v>
      </c>
      <c r="G915" s="1" t="str">
        <f t="shared" si="29"/>
        <v>Mon</v>
      </c>
      <c r="H915" s="7">
        <v>2807</v>
      </c>
      <c r="I915" s="6">
        <v>252</v>
      </c>
    </row>
    <row r="916" spans="1:9" x14ac:dyDescent="0.25">
      <c r="A916" t="s">
        <v>14</v>
      </c>
      <c r="B916" t="s">
        <v>10</v>
      </c>
      <c r="C916" t="s">
        <v>20</v>
      </c>
      <c r="D916" s="1">
        <v>44634</v>
      </c>
      <c r="E916" s="1" t="str">
        <f>TEXT(Sales[[#This Row],[Date]],"mmm")</f>
        <v>Mar</v>
      </c>
      <c r="F916" s="1" t="str">
        <f t="shared" si="28"/>
        <v>2022</v>
      </c>
      <c r="G916" s="1" t="str">
        <f t="shared" si="29"/>
        <v>Mon</v>
      </c>
      <c r="H916" s="7">
        <v>6496</v>
      </c>
      <c r="I916" s="6">
        <v>168</v>
      </c>
    </row>
    <row r="917" spans="1:9" x14ac:dyDescent="0.25">
      <c r="A917" t="s">
        <v>19</v>
      </c>
      <c r="B917" t="s">
        <v>26</v>
      </c>
      <c r="C917" t="s">
        <v>20</v>
      </c>
      <c r="D917" s="1">
        <v>44788</v>
      </c>
      <c r="E917" s="1" t="str">
        <f>TEXT(Sales[[#This Row],[Date]],"mmm")</f>
        <v>Aug</v>
      </c>
      <c r="F917" s="1" t="str">
        <f t="shared" si="28"/>
        <v>2022</v>
      </c>
      <c r="G917" s="1" t="str">
        <f t="shared" si="29"/>
        <v>Mon</v>
      </c>
      <c r="H917" s="7">
        <v>3738</v>
      </c>
      <c r="I917" s="6">
        <v>261</v>
      </c>
    </row>
    <row r="918" spans="1:9" x14ac:dyDescent="0.25">
      <c r="A918" t="s">
        <v>55</v>
      </c>
      <c r="B918" t="s">
        <v>10</v>
      </c>
      <c r="C918" t="s">
        <v>27</v>
      </c>
      <c r="D918" s="1">
        <v>44608</v>
      </c>
      <c r="E918" s="1" t="str">
        <f>TEXT(Sales[[#This Row],[Date]],"mmm")</f>
        <v>Feb</v>
      </c>
      <c r="F918" s="1" t="str">
        <f t="shared" si="28"/>
        <v>2022</v>
      </c>
      <c r="G918" s="1" t="str">
        <f t="shared" si="29"/>
        <v>Wed</v>
      </c>
      <c r="H918" s="7">
        <v>1190</v>
      </c>
      <c r="I918" s="6">
        <v>256</v>
      </c>
    </row>
    <row r="919" spans="1:9" x14ac:dyDescent="0.25">
      <c r="A919" t="s">
        <v>28</v>
      </c>
      <c r="B919" t="s">
        <v>7</v>
      </c>
      <c r="C919" t="s">
        <v>45</v>
      </c>
      <c r="D919" s="1">
        <v>44727</v>
      </c>
      <c r="E919" s="1" t="str">
        <f>TEXT(Sales[[#This Row],[Date]],"mmm")</f>
        <v>Jun</v>
      </c>
      <c r="F919" s="1" t="str">
        <f t="shared" si="28"/>
        <v>2022</v>
      </c>
      <c r="G919" s="1" t="str">
        <f t="shared" si="29"/>
        <v>Wed</v>
      </c>
      <c r="H919" s="7">
        <v>8379</v>
      </c>
      <c r="I919" s="6">
        <v>43</v>
      </c>
    </row>
    <row r="920" spans="1:9" x14ac:dyDescent="0.25">
      <c r="A920" t="s">
        <v>25</v>
      </c>
      <c r="B920" t="s">
        <v>15</v>
      </c>
      <c r="C920" t="s">
        <v>51</v>
      </c>
      <c r="D920" s="1">
        <v>44708</v>
      </c>
      <c r="E920" s="1" t="str">
        <f>TEXT(Sales[[#This Row],[Date]],"mmm")</f>
        <v>May</v>
      </c>
      <c r="F920" s="1" t="str">
        <f t="shared" si="28"/>
        <v>2022</v>
      </c>
      <c r="G920" s="1" t="str">
        <f t="shared" si="29"/>
        <v>Fri</v>
      </c>
      <c r="H920" s="7">
        <v>9268</v>
      </c>
      <c r="I920" s="6">
        <v>100</v>
      </c>
    </row>
    <row r="921" spans="1:9" x14ac:dyDescent="0.25">
      <c r="A921" t="s">
        <v>46</v>
      </c>
      <c r="B921" t="s">
        <v>26</v>
      </c>
      <c r="C921" t="s">
        <v>32</v>
      </c>
      <c r="D921" s="1">
        <v>44726</v>
      </c>
      <c r="E921" s="1" t="str">
        <f>TEXT(Sales[[#This Row],[Date]],"mmm")</f>
        <v>Jun</v>
      </c>
      <c r="F921" s="1" t="str">
        <f t="shared" si="28"/>
        <v>2022</v>
      </c>
      <c r="G921" s="1" t="str">
        <f t="shared" si="29"/>
        <v>Tue</v>
      </c>
      <c r="H921" s="7">
        <v>1029</v>
      </c>
      <c r="I921" s="6">
        <v>98</v>
      </c>
    </row>
    <row r="922" spans="1:9" x14ac:dyDescent="0.25">
      <c r="A922" t="s">
        <v>46</v>
      </c>
      <c r="B922" t="s">
        <v>10</v>
      </c>
      <c r="C922" t="s">
        <v>30</v>
      </c>
      <c r="D922" s="1">
        <v>44617</v>
      </c>
      <c r="E922" s="1" t="str">
        <f>TEXT(Sales[[#This Row],[Date]],"mmm")</f>
        <v>Feb</v>
      </c>
      <c r="F922" s="1" t="str">
        <f t="shared" si="28"/>
        <v>2022</v>
      </c>
      <c r="G922" s="1" t="str">
        <f t="shared" si="29"/>
        <v>Fri</v>
      </c>
      <c r="H922" s="7">
        <v>3549</v>
      </c>
      <c r="I922" s="6">
        <v>76</v>
      </c>
    </row>
    <row r="923" spans="1:9" x14ac:dyDescent="0.25">
      <c r="A923" t="s">
        <v>46</v>
      </c>
      <c r="B923" t="s">
        <v>10</v>
      </c>
      <c r="C923" t="s">
        <v>20</v>
      </c>
      <c r="D923" s="1">
        <v>44777</v>
      </c>
      <c r="E923" s="1" t="str">
        <f>TEXT(Sales[[#This Row],[Date]],"mmm")</f>
        <v>Aug</v>
      </c>
      <c r="F923" s="1" t="str">
        <f t="shared" si="28"/>
        <v>2022</v>
      </c>
      <c r="G923" s="1" t="str">
        <f t="shared" si="29"/>
        <v>Thu</v>
      </c>
      <c r="H923" s="7">
        <v>12026</v>
      </c>
      <c r="I923" s="6">
        <v>262</v>
      </c>
    </row>
    <row r="924" spans="1:9" x14ac:dyDescent="0.25">
      <c r="A924" t="s">
        <v>49</v>
      </c>
      <c r="B924" t="s">
        <v>10</v>
      </c>
      <c r="C924" t="s">
        <v>18</v>
      </c>
      <c r="D924" s="1">
        <v>44740</v>
      </c>
      <c r="E924" s="1" t="str">
        <f>TEXT(Sales[[#This Row],[Date]],"mmm")</f>
        <v>Jun</v>
      </c>
      <c r="F924" s="1" t="str">
        <f t="shared" si="28"/>
        <v>2022</v>
      </c>
      <c r="G924" s="1" t="str">
        <f t="shared" si="29"/>
        <v>Tue</v>
      </c>
      <c r="H924" s="7">
        <v>2303</v>
      </c>
      <c r="I924" s="6">
        <v>244</v>
      </c>
    </row>
    <row r="925" spans="1:9" x14ac:dyDescent="0.25">
      <c r="A925" t="s">
        <v>19</v>
      </c>
      <c r="B925" t="s">
        <v>29</v>
      </c>
      <c r="C925" t="s">
        <v>39</v>
      </c>
      <c r="D925" s="1">
        <v>44656</v>
      </c>
      <c r="E925" s="1" t="str">
        <f>TEXT(Sales[[#This Row],[Date]],"mmm")</f>
        <v>Apr</v>
      </c>
      <c r="F925" s="1" t="str">
        <f t="shared" si="28"/>
        <v>2022</v>
      </c>
      <c r="G925" s="1" t="str">
        <f t="shared" si="29"/>
        <v>Tue</v>
      </c>
      <c r="H925" s="7">
        <v>13405</v>
      </c>
      <c r="I925" s="6">
        <v>12</v>
      </c>
    </row>
    <row r="926" spans="1:9" x14ac:dyDescent="0.25">
      <c r="A926" t="s">
        <v>53</v>
      </c>
      <c r="B926" t="s">
        <v>29</v>
      </c>
      <c r="C926" t="s">
        <v>13</v>
      </c>
      <c r="D926" s="1">
        <v>44747</v>
      </c>
      <c r="E926" s="1" t="str">
        <f>TEXT(Sales[[#This Row],[Date]],"mmm")</f>
        <v>Jul</v>
      </c>
      <c r="F926" s="1" t="str">
        <f t="shared" si="28"/>
        <v>2022</v>
      </c>
      <c r="G926" s="1" t="str">
        <f t="shared" si="29"/>
        <v>Tue</v>
      </c>
      <c r="H926" s="7">
        <v>14763</v>
      </c>
      <c r="I926" s="6">
        <v>113</v>
      </c>
    </row>
    <row r="927" spans="1:9" x14ac:dyDescent="0.25">
      <c r="A927" t="s">
        <v>41</v>
      </c>
      <c r="B927" t="s">
        <v>21</v>
      </c>
      <c r="C927" t="s">
        <v>30</v>
      </c>
      <c r="D927" s="1">
        <v>44581</v>
      </c>
      <c r="E927" s="1" t="str">
        <f>TEXT(Sales[[#This Row],[Date]],"mmm")</f>
        <v>Jan</v>
      </c>
      <c r="F927" s="1" t="str">
        <f t="shared" si="28"/>
        <v>2022</v>
      </c>
      <c r="G927" s="1" t="str">
        <f t="shared" si="29"/>
        <v>Thu</v>
      </c>
      <c r="H927" s="7">
        <v>12894</v>
      </c>
      <c r="I927" s="6">
        <v>48</v>
      </c>
    </row>
    <row r="928" spans="1:9" x14ac:dyDescent="0.25">
      <c r="A928" t="s">
        <v>55</v>
      </c>
      <c r="B928" t="s">
        <v>21</v>
      </c>
      <c r="C928" t="s">
        <v>32</v>
      </c>
      <c r="D928" s="1">
        <v>44608</v>
      </c>
      <c r="E928" s="1" t="str">
        <f>TEXT(Sales[[#This Row],[Date]],"mmm")</f>
        <v>Feb</v>
      </c>
      <c r="F928" s="1" t="str">
        <f t="shared" si="28"/>
        <v>2022</v>
      </c>
      <c r="G928" s="1" t="str">
        <f t="shared" si="29"/>
        <v>Wed</v>
      </c>
      <c r="H928" s="7">
        <v>8302</v>
      </c>
      <c r="I928" s="6">
        <v>131</v>
      </c>
    </row>
    <row r="929" spans="1:9" x14ac:dyDescent="0.25">
      <c r="A929" t="s">
        <v>38</v>
      </c>
      <c r="B929" t="s">
        <v>7</v>
      </c>
      <c r="C929" t="s">
        <v>32</v>
      </c>
      <c r="D929" s="1">
        <v>44754</v>
      </c>
      <c r="E929" s="1" t="str">
        <f>TEXT(Sales[[#This Row],[Date]],"mmm")</f>
        <v>Jul</v>
      </c>
      <c r="F929" s="1" t="str">
        <f t="shared" si="28"/>
        <v>2022</v>
      </c>
      <c r="G929" s="1" t="str">
        <f t="shared" si="29"/>
        <v>Tue</v>
      </c>
      <c r="H929" s="7">
        <v>455</v>
      </c>
      <c r="I929" s="6">
        <v>174</v>
      </c>
    </row>
    <row r="930" spans="1:9" x14ac:dyDescent="0.25">
      <c r="A930" t="s">
        <v>49</v>
      </c>
      <c r="B930" t="s">
        <v>10</v>
      </c>
      <c r="C930" t="s">
        <v>51</v>
      </c>
      <c r="D930" s="1">
        <v>44728</v>
      </c>
      <c r="E930" s="1" t="str">
        <f>TEXT(Sales[[#This Row],[Date]],"mmm")</f>
        <v>Jun</v>
      </c>
      <c r="F930" s="1" t="str">
        <f t="shared" si="28"/>
        <v>2022</v>
      </c>
      <c r="G930" s="1" t="str">
        <f t="shared" si="29"/>
        <v>Thu</v>
      </c>
      <c r="H930" s="7">
        <v>8183</v>
      </c>
      <c r="I930" s="6">
        <v>254</v>
      </c>
    </row>
    <row r="931" spans="1:9" x14ac:dyDescent="0.25">
      <c r="A931" t="s">
        <v>54</v>
      </c>
      <c r="B931" t="s">
        <v>15</v>
      </c>
      <c r="C931" t="s">
        <v>52</v>
      </c>
      <c r="D931" s="1">
        <v>44664</v>
      </c>
      <c r="E931" s="1" t="str">
        <f>TEXT(Sales[[#This Row],[Date]],"mmm")</f>
        <v>Apr</v>
      </c>
      <c r="F931" s="1" t="str">
        <f t="shared" si="28"/>
        <v>2022</v>
      </c>
      <c r="G931" s="1" t="str">
        <f t="shared" si="29"/>
        <v>Wed</v>
      </c>
      <c r="H931" s="7">
        <v>1645</v>
      </c>
      <c r="I931" s="6">
        <v>284</v>
      </c>
    </row>
    <row r="932" spans="1:9" x14ac:dyDescent="0.25">
      <c r="A932" t="s">
        <v>41</v>
      </c>
      <c r="B932" t="s">
        <v>7</v>
      </c>
      <c r="C932" t="s">
        <v>22</v>
      </c>
      <c r="D932" s="1">
        <v>44613</v>
      </c>
      <c r="E932" s="1" t="str">
        <f>TEXT(Sales[[#This Row],[Date]],"mmm")</f>
        <v>Feb</v>
      </c>
      <c r="F932" s="1" t="str">
        <f t="shared" si="28"/>
        <v>2022</v>
      </c>
      <c r="G932" s="1" t="str">
        <f t="shared" si="29"/>
        <v>Mon</v>
      </c>
      <c r="H932" s="7">
        <v>3143</v>
      </c>
      <c r="I932" s="6">
        <v>67</v>
      </c>
    </row>
    <row r="933" spans="1:9" x14ac:dyDescent="0.25">
      <c r="A933" t="s">
        <v>36</v>
      </c>
      <c r="B933" t="s">
        <v>29</v>
      </c>
      <c r="C933" t="s">
        <v>52</v>
      </c>
      <c r="D933" s="1">
        <v>44692</v>
      </c>
      <c r="E933" s="1" t="str">
        <f>TEXT(Sales[[#This Row],[Date]],"mmm")</f>
        <v>May</v>
      </c>
      <c r="F933" s="1" t="str">
        <f t="shared" si="28"/>
        <v>2022</v>
      </c>
      <c r="G933" s="1" t="str">
        <f t="shared" si="29"/>
        <v>Wed</v>
      </c>
      <c r="H933" s="7">
        <v>5873</v>
      </c>
      <c r="I933" s="6">
        <v>249</v>
      </c>
    </row>
    <row r="934" spans="1:9" x14ac:dyDescent="0.25">
      <c r="A934" t="s">
        <v>55</v>
      </c>
      <c r="B934" t="s">
        <v>10</v>
      </c>
      <c r="C934" t="s">
        <v>22</v>
      </c>
      <c r="D934" s="1">
        <v>44666</v>
      </c>
      <c r="E934" s="1" t="str">
        <f>TEXT(Sales[[#This Row],[Date]],"mmm")</f>
        <v>Apr</v>
      </c>
      <c r="F934" s="1" t="str">
        <f t="shared" si="28"/>
        <v>2022</v>
      </c>
      <c r="G934" s="1" t="str">
        <f t="shared" si="29"/>
        <v>Fri</v>
      </c>
      <c r="H934" s="7">
        <v>11298</v>
      </c>
      <c r="I934" s="6">
        <v>313</v>
      </c>
    </row>
    <row r="935" spans="1:9" x14ac:dyDescent="0.25">
      <c r="A935" t="s">
        <v>17</v>
      </c>
      <c r="B935" t="s">
        <v>29</v>
      </c>
      <c r="C935" t="s">
        <v>13</v>
      </c>
      <c r="D935" s="1">
        <v>44719</v>
      </c>
      <c r="E935" s="1" t="str">
        <f>TEXT(Sales[[#This Row],[Date]],"mmm")</f>
        <v>Jun</v>
      </c>
      <c r="F935" s="1" t="str">
        <f t="shared" si="28"/>
        <v>2022</v>
      </c>
      <c r="G935" s="1" t="str">
        <f t="shared" si="29"/>
        <v>Tue</v>
      </c>
      <c r="H935" s="7">
        <v>12425</v>
      </c>
      <c r="I935" s="6">
        <v>167</v>
      </c>
    </row>
    <row r="936" spans="1:9" x14ac:dyDescent="0.25">
      <c r="A936" t="s">
        <v>17</v>
      </c>
      <c r="B936" t="s">
        <v>7</v>
      </c>
      <c r="C936" t="s">
        <v>44</v>
      </c>
      <c r="D936" s="1">
        <v>44739</v>
      </c>
      <c r="E936" s="1" t="str">
        <f>TEXT(Sales[[#This Row],[Date]],"mmm")</f>
        <v>Jun</v>
      </c>
      <c r="F936" s="1" t="str">
        <f t="shared" si="28"/>
        <v>2022</v>
      </c>
      <c r="G936" s="1" t="str">
        <f t="shared" si="29"/>
        <v>Mon</v>
      </c>
      <c r="H936" s="7">
        <v>1715</v>
      </c>
      <c r="I936" s="6">
        <v>286</v>
      </c>
    </row>
    <row r="937" spans="1:9" x14ac:dyDescent="0.25">
      <c r="A937" t="s">
        <v>25</v>
      </c>
      <c r="B937" t="s">
        <v>10</v>
      </c>
      <c r="C937" t="s">
        <v>20</v>
      </c>
      <c r="D937" s="1">
        <v>44771</v>
      </c>
      <c r="E937" s="1" t="str">
        <f>TEXT(Sales[[#This Row],[Date]],"mmm")</f>
        <v>Jul</v>
      </c>
      <c r="F937" s="1" t="str">
        <f t="shared" si="28"/>
        <v>2022</v>
      </c>
      <c r="G937" s="1" t="str">
        <f t="shared" si="29"/>
        <v>Fri</v>
      </c>
      <c r="H937" s="7">
        <v>8190</v>
      </c>
      <c r="I937" s="6">
        <v>109</v>
      </c>
    </row>
    <row r="938" spans="1:9" x14ac:dyDescent="0.25">
      <c r="A938" t="s">
        <v>46</v>
      </c>
      <c r="B938" t="s">
        <v>29</v>
      </c>
      <c r="C938" t="s">
        <v>16</v>
      </c>
      <c r="D938" s="1">
        <v>44714</v>
      </c>
      <c r="E938" s="1" t="str">
        <f>TEXT(Sales[[#This Row],[Date]],"mmm")</f>
        <v>Jun</v>
      </c>
      <c r="F938" s="1" t="str">
        <f t="shared" si="28"/>
        <v>2022</v>
      </c>
      <c r="G938" s="1" t="str">
        <f t="shared" si="29"/>
        <v>Thu</v>
      </c>
      <c r="H938" s="7">
        <v>4991</v>
      </c>
      <c r="I938" s="6">
        <v>166</v>
      </c>
    </row>
    <row r="939" spans="1:9" x14ac:dyDescent="0.25">
      <c r="A939" t="s">
        <v>24</v>
      </c>
      <c r="B939" t="s">
        <v>10</v>
      </c>
      <c r="C939" t="s">
        <v>8</v>
      </c>
      <c r="D939" s="1">
        <v>44587</v>
      </c>
      <c r="E939" s="1" t="str">
        <f>TEXT(Sales[[#This Row],[Date]],"mmm")</f>
        <v>Jan</v>
      </c>
      <c r="F939" s="1" t="str">
        <f t="shared" si="28"/>
        <v>2022</v>
      </c>
      <c r="G939" s="1" t="str">
        <f t="shared" si="29"/>
        <v>Wed</v>
      </c>
      <c r="H939" s="7">
        <v>15491</v>
      </c>
      <c r="I939" s="6">
        <v>85</v>
      </c>
    </row>
    <row r="940" spans="1:9" x14ac:dyDescent="0.25">
      <c r="A940" t="s">
        <v>24</v>
      </c>
      <c r="B940" t="s">
        <v>29</v>
      </c>
      <c r="C940" t="s">
        <v>18</v>
      </c>
      <c r="D940" s="1">
        <v>44622</v>
      </c>
      <c r="E940" s="1" t="str">
        <f>TEXT(Sales[[#This Row],[Date]],"mmm")</f>
        <v>Mar</v>
      </c>
      <c r="F940" s="1" t="str">
        <f t="shared" si="28"/>
        <v>2022</v>
      </c>
      <c r="G940" s="1" t="str">
        <f t="shared" si="29"/>
        <v>Wed</v>
      </c>
      <c r="H940" s="7">
        <v>5096</v>
      </c>
      <c r="I940" s="6">
        <v>142</v>
      </c>
    </row>
    <row r="941" spans="1:9" x14ac:dyDescent="0.25">
      <c r="A941" t="s">
        <v>9</v>
      </c>
      <c r="B941" t="s">
        <v>15</v>
      </c>
      <c r="C941" t="s">
        <v>58</v>
      </c>
      <c r="D941" s="1">
        <v>44571</v>
      </c>
      <c r="E941" s="1" t="str">
        <f>TEXT(Sales[[#This Row],[Date]],"mmm")</f>
        <v>Jan</v>
      </c>
      <c r="F941" s="1" t="str">
        <f t="shared" si="28"/>
        <v>2022</v>
      </c>
      <c r="G941" s="1" t="str">
        <f t="shared" si="29"/>
        <v>Mon</v>
      </c>
      <c r="H941" s="7">
        <v>7063</v>
      </c>
      <c r="I941" s="6">
        <v>104</v>
      </c>
    </row>
    <row r="942" spans="1:9" x14ac:dyDescent="0.25">
      <c r="A942" t="s">
        <v>34</v>
      </c>
      <c r="B942" t="s">
        <v>26</v>
      </c>
      <c r="C942" t="s">
        <v>58</v>
      </c>
      <c r="D942" s="1">
        <v>44739</v>
      </c>
      <c r="E942" s="1" t="str">
        <f>TEXT(Sales[[#This Row],[Date]],"mmm")</f>
        <v>Jun</v>
      </c>
      <c r="F942" s="1" t="str">
        <f t="shared" si="28"/>
        <v>2022</v>
      </c>
      <c r="G942" s="1" t="str">
        <f t="shared" si="29"/>
        <v>Mon</v>
      </c>
      <c r="H942" s="7">
        <v>2275</v>
      </c>
      <c r="I942" s="6">
        <v>115</v>
      </c>
    </row>
    <row r="943" spans="1:9" x14ac:dyDescent="0.25">
      <c r="A943" t="s">
        <v>25</v>
      </c>
      <c r="B943" t="s">
        <v>29</v>
      </c>
      <c r="C943" t="s">
        <v>27</v>
      </c>
      <c r="D943" s="1">
        <v>44742</v>
      </c>
      <c r="E943" s="1" t="str">
        <f>TEXT(Sales[[#This Row],[Date]],"mmm")</f>
        <v>Jun</v>
      </c>
      <c r="F943" s="1" t="str">
        <f t="shared" si="28"/>
        <v>2022</v>
      </c>
      <c r="G943" s="1" t="str">
        <f t="shared" si="29"/>
        <v>Thu</v>
      </c>
      <c r="H943" s="7">
        <v>7602</v>
      </c>
      <c r="I943" s="6">
        <v>18</v>
      </c>
    </row>
    <row r="944" spans="1:9" x14ac:dyDescent="0.25">
      <c r="A944" t="s">
        <v>36</v>
      </c>
      <c r="B944" t="s">
        <v>15</v>
      </c>
      <c r="C944" t="s">
        <v>11</v>
      </c>
      <c r="D944" s="1">
        <v>44750</v>
      </c>
      <c r="E944" s="1" t="str">
        <f>TEXT(Sales[[#This Row],[Date]],"mmm")</f>
        <v>Jul</v>
      </c>
      <c r="F944" s="1" t="str">
        <f t="shared" si="28"/>
        <v>2022</v>
      </c>
      <c r="G944" s="1" t="str">
        <f t="shared" si="29"/>
        <v>Fri</v>
      </c>
      <c r="H944" s="7">
        <v>4200</v>
      </c>
      <c r="I944" s="6">
        <v>80</v>
      </c>
    </row>
    <row r="945" spans="1:9" x14ac:dyDescent="0.25">
      <c r="A945" t="s">
        <v>17</v>
      </c>
      <c r="B945" t="s">
        <v>10</v>
      </c>
      <c r="C945" t="s">
        <v>39</v>
      </c>
      <c r="D945" s="1">
        <v>44720</v>
      </c>
      <c r="E945" s="1" t="str">
        <f>TEXT(Sales[[#This Row],[Date]],"mmm")</f>
        <v>Jun</v>
      </c>
      <c r="F945" s="1" t="str">
        <f t="shared" si="28"/>
        <v>2022</v>
      </c>
      <c r="G945" s="1" t="str">
        <f t="shared" si="29"/>
        <v>Wed</v>
      </c>
      <c r="H945" s="7">
        <v>11137</v>
      </c>
      <c r="I945" s="6">
        <v>88</v>
      </c>
    </row>
    <row r="946" spans="1:9" x14ac:dyDescent="0.25">
      <c r="A946" t="s">
        <v>14</v>
      </c>
      <c r="B946" t="s">
        <v>7</v>
      </c>
      <c r="C946" t="s">
        <v>45</v>
      </c>
      <c r="D946" s="1">
        <v>44791</v>
      </c>
      <c r="E946" s="1" t="str">
        <f>TEXT(Sales[[#This Row],[Date]],"mmm")</f>
        <v>Aug</v>
      </c>
      <c r="F946" s="1" t="str">
        <f t="shared" si="28"/>
        <v>2022</v>
      </c>
      <c r="G946" s="1" t="str">
        <f t="shared" si="29"/>
        <v>Thu</v>
      </c>
      <c r="H946" s="7">
        <v>3388</v>
      </c>
      <c r="I946" s="6">
        <v>212</v>
      </c>
    </row>
    <row r="947" spans="1:9" x14ac:dyDescent="0.25">
      <c r="A947" t="s">
        <v>41</v>
      </c>
      <c r="B947" t="s">
        <v>15</v>
      </c>
      <c r="C947" t="s">
        <v>20</v>
      </c>
      <c r="D947" s="1">
        <v>44659</v>
      </c>
      <c r="E947" s="1" t="str">
        <f>TEXT(Sales[[#This Row],[Date]],"mmm")</f>
        <v>Apr</v>
      </c>
      <c r="F947" s="1" t="str">
        <f t="shared" si="28"/>
        <v>2022</v>
      </c>
      <c r="G947" s="1" t="str">
        <f t="shared" si="29"/>
        <v>Fri</v>
      </c>
      <c r="H947" s="7">
        <v>6832</v>
      </c>
      <c r="I947" s="6">
        <v>306</v>
      </c>
    </row>
    <row r="948" spans="1:9" x14ac:dyDescent="0.25">
      <c r="A948" t="s">
        <v>46</v>
      </c>
      <c r="B948" t="s">
        <v>29</v>
      </c>
      <c r="C948" t="s">
        <v>42</v>
      </c>
      <c r="D948" s="1">
        <v>44781</v>
      </c>
      <c r="E948" s="1" t="str">
        <f>TEXT(Sales[[#This Row],[Date]],"mmm")</f>
        <v>Aug</v>
      </c>
      <c r="F948" s="1" t="str">
        <f t="shared" si="28"/>
        <v>2022</v>
      </c>
      <c r="G948" s="1" t="str">
        <f t="shared" si="29"/>
        <v>Mon</v>
      </c>
      <c r="H948" s="7">
        <v>3437</v>
      </c>
      <c r="I948" s="6">
        <v>181</v>
      </c>
    </row>
    <row r="949" spans="1:9" x14ac:dyDescent="0.25">
      <c r="A949" t="s">
        <v>46</v>
      </c>
      <c r="B949" t="s">
        <v>7</v>
      </c>
      <c r="C949" t="s">
        <v>37</v>
      </c>
      <c r="D949" s="1">
        <v>44799</v>
      </c>
      <c r="E949" s="1" t="str">
        <f>TEXT(Sales[[#This Row],[Date]],"mmm")</f>
        <v>Aug</v>
      </c>
      <c r="F949" s="1" t="str">
        <f t="shared" si="28"/>
        <v>2022</v>
      </c>
      <c r="G949" s="1" t="str">
        <f t="shared" si="29"/>
        <v>Fri</v>
      </c>
      <c r="H949" s="7">
        <v>301</v>
      </c>
      <c r="I949" s="6">
        <v>65</v>
      </c>
    </row>
    <row r="950" spans="1:9" x14ac:dyDescent="0.25">
      <c r="A950" t="s">
        <v>17</v>
      </c>
      <c r="B950" t="s">
        <v>29</v>
      </c>
      <c r="C950" t="s">
        <v>42</v>
      </c>
      <c r="D950" s="1">
        <v>44575</v>
      </c>
      <c r="E950" s="1" t="str">
        <f>TEXT(Sales[[#This Row],[Date]],"mmm")</f>
        <v>Jan</v>
      </c>
      <c r="F950" s="1" t="str">
        <f t="shared" si="28"/>
        <v>2022</v>
      </c>
      <c r="G950" s="1" t="str">
        <f t="shared" si="29"/>
        <v>Fri</v>
      </c>
      <c r="H950" s="7">
        <v>1869</v>
      </c>
      <c r="I950" s="6">
        <v>158</v>
      </c>
    </row>
    <row r="951" spans="1:9" x14ac:dyDescent="0.25">
      <c r="A951" t="s">
        <v>43</v>
      </c>
      <c r="B951" t="s">
        <v>26</v>
      </c>
      <c r="C951" t="s">
        <v>56</v>
      </c>
      <c r="D951" s="1">
        <v>44784</v>
      </c>
      <c r="E951" s="1" t="str">
        <f>TEXT(Sales[[#This Row],[Date]],"mmm")</f>
        <v>Aug</v>
      </c>
      <c r="F951" s="1" t="str">
        <f t="shared" si="28"/>
        <v>2022</v>
      </c>
      <c r="G951" s="1" t="str">
        <f t="shared" si="29"/>
        <v>Thu</v>
      </c>
      <c r="H951" s="7">
        <v>17465</v>
      </c>
      <c r="I951" s="6">
        <v>271</v>
      </c>
    </row>
    <row r="952" spans="1:9" x14ac:dyDescent="0.25">
      <c r="A952" t="s">
        <v>53</v>
      </c>
      <c r="B952" t="s">
        <v>26</v>
      </c>
      <c r="C952" t="s">
        <v>47</v>
      </c>
      <c r="D952" s="1">
        <v>44712</v>
      </c>
      <c r="E952" s="1" t="str">
        <f>TEXT(Sales[[#This Row],[Date]],"mmm")</f>
        <v>May</v>
      </c>
      <c r="F952" s="1" t="str">
        <f t="shared" si="28"/>
        <v>2022</v>
      </c>
      <c r="G952" s="1" t="str">
        <f t="shared" si="29"/>
        <v>Tue</v>
      </c>
      <c r="H952" s="7">
        <v>10143</v>
      </c>
      <c r="I952" s="6">
        <v>24</v>
      </c>
    </row>
    <row r="953" spans="1:9" x14ac:dyDescent="0.25">
      <c r="A953" t="s">
        <v>9</v>
      </c>
      <c r="B953" t="s">
        <v>21</v>
      </c>
      <c r="C953" t="s">
        <v>22</v>
      </c>
      <c r="D953" s="1">
        <v>44753</v>
      </c>
      <c r="E953" s="1" t="str">
        <f>TEXT(Sales[[#This Row],[Date]],"mmm")</f>
        <v>Jul</v>
      </c>
      <c r="F953" s="1" t="str">
        <f t="shared" si="28"/>
        <v>2022</v>
      </c>
      <c r="G953" s="1" t="str">
        <f t="shared" si="29"/>
        <v>Mon</v>
      </c>
      <c r="H953" s="7">
        <v>3626</v>
      </c>
      <c r="I953" s="6">
        <v>10</v>
      </c>
    </row>
    <row r="954" spans="1:9" x14ac:dyDescent="0.25">
      <c r="A954" t="s">
        <v>31</v>
      </c>
      <c r="B954" t="s">
        <v>29</v>
      </c>
      <c r="C954" t="s">
        <v>57</v>
      </c>
      <c r="D954" s="1">
        <v>44622</v>
      </c>
      <c r="E954" s="1" t="str">
        <f>TEXT(Sales[[#This Row],[Date]],"mmm")</f>
        <v>Mar</v>
      </c>
      <c r="F954" s="1" t="str">
        <f t="shared" si="28"/>
        <v>2022</v>
      </c>
      <c r="G954" s="1" t="str">
        <f t="shared" si="29"/>
        <v>Wed</v>
      </c>
      <c r="H954" s="7">
        <v>3346</v>
      </c>
      <c r="I954" s="6">
        <v>304</v>
      </c>
    </row>
    <row r="955" spans="1:9" x14ac:dyDescent="0.25">
      <c r="A955" t="s">
        <v>53</v>
      </c>
      <c r="B955" t="s">
        <v>15</v>
      </c>
      <c r="C955" t="s">
        <v>51</v>
      </c>
      <c r="D955" s="1">
        <v>44755</v>
      </c>
      <c r="E955" s="1" t="str">
        <f>TEXT(Sales[[#This Row],[Date]],"mmm")</f>
        <v>Jul</v>
      </c>
      <c r="F955" s="1" t="str">
        <f t="shared" si="28"/>
        <v>2022</v>
      </c>
      <c r="G955" s="1" t="str">
        <f t="shared" si="29"/>
        <v>Wed</v>
      </c>
      <c r="H955" s="7">
        <v>6321</v>
      </c>
      <c r="I955" s="6">
        <v>88</v>
      </c>
    </row>
    <row r="956" spans="1:9" x14ac:dyDescent="0.25">
      <c r="A956" t="s">
        <v>24</v>
      </c>
      <c r="B956" t="s">
        <v>7</v>
      </c>
      <c r="C956" t="s">
        <v>39</v>
      </c>
      <c r="D956" s="1">
        <v>44776</v>
      </c>
      <c r="E956" s="1" t="str">
        <f>TEXT(Sales[[#This Row],[Date]],"mmm")</f>
        <v>Aug</v>
      </c>
      <c r="F956" s="1" t="str">
        <f t="shared" si="28"/>
        <v>2022</v>
      </c>
      <c r="G956" s="1" t="str">
        <f t="shared" si="29"/>
        <v>Wed</v>
      </c>
      <c r="H956" s="7">
        <v>9345</v>
      </c>
      <c r="I956" s="6">
        <v>133</v>
      </c>
    </row>
    <row r="957" spans="1:9" x14ac:dyDescent="0.25">
      <c r="A957" t="s">
        <v>38</v>
      </c>
      <c r="B957" t="s">
        <v>7</v>
      </c>
      <c r="C957" t="s">
        <v>13</v>
      </c>
      <c r="D957" s="1">
        <v>44621</v>
      </c>
      <c r="E957" s="1" t="str">
        <f>TEXT(Sales[[#This Row],[Date]],"mmm")</f>
        <v>Mar</v>
      </c>
      <c r="F957" s="1" t="str">
        <f t="shared" si="28"/>
        <v>2022</v>
      </c>
      <c r="G957" s="1" t="str">
        <f t="shared" si="29"/>
        <v>Tue</v>
      </c>
      <c r="H957" s="7">
        <v>15008</v>
      </c>
      <c r="I957" s="6">
        <v>165</v>
      </c>
    </row>
    <row r="958" spans="1:9" x14ac:dyDescent="0.25">
      <c r="A958" t="s">
        <v>49</v>
      </c>
      <c r="B958" t="s">
        <v>21</v>
      </c>
      <c r="C958" t="s">
        <v>44</v>
      </c>
      <c r="D958" s="1">
        <v>44664</v>
      </c>
      <c r="E958" s="1" t="str">
        <f>TEXT(Sales[[#This Row],[Date]],"mmm")</f>
        <v>Apr</v>
      </c>
      <c r="F958" s="1" t="str">
        <f t="shared" si="28"/>
        <v>2022</v>
      </c>
      <c r="G958" s="1" t="str">
        <f t="shared" si="29"/>
        <v>Wed</v>
      </c>
      <c r="H958" s="7">
        <v>7609</v>
      </c>
      <c r="I958" s="6">
        <v>150</v>
      </c>
    </row>
    <row r="959" spans="1:9" x14ac:dyDescent="0.25">
      <c r="A959" t="s">
        <v>34</v>
      </c>
      <c r="B959" t="s">
        <v>29</v>
      </c>
      <c r="C959" t="s">
        <v>42</v>
      </c>
      <c r="D959" s="1">
        <v>44606</v>
      </c>
      <c r="E959" s="1" t="str">
        <f>TEXT(Sales[[#This Row],[Date]],"mmm")</f>
        <v>Feb</v>
      </c>
      <c r="F959" s="1" t="str">
        <f t="shared" si="28"/>
        <v>2022</v>
      </c>
      <c r="G959" s="1" t="str">
        <f t="shared" si="29"/>
        <v>Mon</v>
      </c>
      <c r="H959" s="7">
        <v>10332</v>
      </c>
      <c r="I959" s="6">
        <v>180</v>
      </c>
    </row>
    <row r="960" spans="1:9" x14ac:dyDescent="0.25">
      <c r="A960" t="s">
        <v>28</v>
      </c>
      <c r="B960" t="s">
        <v>10</v>
      </c>
      <c r="C960" t="s">
        <v>44</v>
      </c>
      <c r="D960" s="1">
        <v>44768</v>
      </c>
      <c r="E960" s="1" t="str">
        <f>TEXT(Sales[[#This Row],[Date]],"mmm")</f>
        <v>Jul</v>
      </c>
      <c r="F960" s="1" t="str">
        <f t="shared" si="28"/>
        <v>2022</v>
      </c>
      <c r="G960" s="1" t="str">
        <f t="shared" si="29"/>
        <v>Tue</v>
      </c>
      <c r="H960" s="7">
        <v>819</v>
      </c>
      <c r="I960" s="6">
        <v>213</v>
      </c>
    </row>
    <row r="961" spans="1:9" x14ac:dyDescent="0.25">
      <c r="A961" t="s">
        <v>23</v>
      </c>
      <c r="B961" t="s">
        <v>7</v>
      </c>
      <c r="C961" t="s">
        <v>32</v>
      </c>
      <c r="D961" s="1">
        <v>44588</v>
      </c>
      <c r="E961" s="1" t="str">
        <f>TEXT(Sales[[#This Row],[Date]],"mmm")</f>
        <v>Jan</v>
      </c>
      <c r="F961" s="1" t="str">
        <f t="shared" si="28"/>
        <v>2022</v>
      </c>
      <c r="G961" s="1" t="str">
        <f t="shared" si="29"/>
        <v>Thu</v>
      </c>
      <c r="H961" s="7">
        <v>5754</v>
      </c>
      <c r="I961" s="6">
        <v>133</v>
      </c>
    </row>
    <row r="962" spans="1:9" x14ac:dyDescent="0.25">
      <c r="A962" t="s">
        <v>6</v>
      </c>
      <c r="B962" t="s">
        <v>10</v>
      </c>
      <c r="C962" t="s">
        <v>13</v>
      </c>
      <c r="D962" s="1">
        <v>44665</v>
      </c>
      <c r="E962" s="1" t="str">
        <f>TEXT(Sales[[#This Row],[Date]],"mmm")</f>
        <v>Apr</v>
      </c>
      <c r="F962" s="1" t="str">
        <f t="shared" ref="F962:F1025" si="30">TEXT(D:D,"yyyy")</f>
        <v>2022</v>
      </c>
      <c r="G962" s="1" t="str">
        <f t="shared" ref="G962:G1025" si="31">TEXT(D:D,"ddd")</f>
        <v>Thu</v>
      </c>
      <c r="H962" s="7">
        <v>28</v>
      </c>
      <c r="I962" s="6">
        <v>446</v>
      </c>
    </row>
    <row r="963" spans="1:9" x14ac:dyDescent="0.25">
      <c r="A963" t="s">
        <v>17</v>
      </c>
      <c r="B963" t="s">
        <v>26</v>
      </c>
      <c r="C963" t="s">
        <v>47</v>
      </c>
      <c r="D963" s="1">
        <v>44700</v>
      </c>
      <c r="E963" s="1" t="str">
        <f>TEXT(Sales[[#This Row],[Date]],"mmm")</f>
        <v>May</v>
      </c>
      <c r="F963" s="1" t="str">
        <f t="shared" si="30"/>
        <v>2022</v>
      </c>
      <c r="G963" s="1" t="str">
        <f t="shared" si="31"/>
        <v>Thu</v>
      </c>
      <c r="H963" s="7">
        <v>6440</v>
      </c>
      <c r="I963" s="6">
        <v>141</v>
      </c>
    </row>
    <row r="964" spans="1:9" x14ac:dyDescent="0.25">
      <c r="A964" t="s">
        <v>40</v>
      </c>
      <c r="B964" t="s">
        <v>10</v>
      </c>
      <c r="C964" t="s">
        <v>30</v>
      </c>
      <c r="D964" s="1">
        <v>44601</v>
      </c>
      <c r="E964" s="1" t="str">
        <f>TEXT(Sales[[#This Row],[Date]],"mmm")</f>
        <v>Feb</v>
      </c>
      <c r="F964" s="1" t="str">
        <f t="shared" si="30"/>
        <v>2022</v>
      </c>
      <c r="G964" s="1" t="str">
        <f t="shared" si="31"/>
        <v>Wed</v>
      </c>
      <c r="H964" s="7">
        <v>4956</v>
      </c>
      <c r="I964" s="6">
        <v>58</v>
      </c>
    </row>
    <row r="965" spans="1:9" x14ac:dyDescent="0.25">
      <c r="A965" t="s">
        <v>23</v>
      </c>
      <c r="B965" t="s">
        <v>7</v>
      </c>
      <c r="C965" t="s">
        <v>39</v>
      </c>
      <c r="D965" s="1">
        <v>44706</v>
      </c>
      <c r="E965" s="1" t="str">
        <f>TEXT(Sales[[#This Row],[Date]],"mmm")</f>
        <v>May</v>
      </c>
      <c r="F965" s="1" t="str">
        <f t="shared" si="30"/>
        <v>2022</v>
      </c>
      <c r="G965" s="1" t="str">
        <f t="shared" si="31"/>
        <v>Wed</v>
      </c>
      <c r="H965" s="7">
        <v>2352</v>
      </c>
      <c r="I965" s="6">
        <v>58</v>
      </c>
    </row>
    <row r="966" spans="1:9" x14ac:dyDescent="0.25">
      <c r="A966" t="s">
        <v>17</v>
      </c>
      <c r="B966" t="s">
        <v>15</v>
      </c>
      <c r="C966" t="s">
        <v>45</v>
      </c>
      <c r="D966" s="1">
        <v>44587</v>
      </c>
      <c r="E966" s="1" t="str">
        <f>TEXT(Sales[[#This Row],[Date]],"mmm")</f>
        <v>Jan</v>
      </c>
      <c r="F966" s="1" t="str">
        <f t="shared" si="30"/>
        <v>2022</v>
      </c>
      <c r="G966" s="1" t="str">
        <f t="shared" si="31"/>
        <v>Wed</v>
      </c>
      <c r="H966" s="7">
        <v>3906</v>
      </c>
      <c r="I966" s="6">
        <v>76</v>
      </c>
    </row>
    <row r="967" spans="1:9" x14ac:dyDescent="0.25">
      <c r="A967" t="s">
        <v>34</v>
      </c>
      <c r="B967" t="s">
        <v>10</v>
      </c>
      <c r="C967" t="s">
        <v>44</v>
      </c>
      <c r="D967" s="1">
        <v>44746</v>
      </c>
      <c r="E967" s="1" t="str">
        <f>TEXT(Sales[[#This Row],[Date]],"mmm")</f>
        <v>Jul</v>
      </c>
      <c r="F967" s="1" t="str">
        <f t="shared" si="30"/>
        <v>2022</v>
      </c>
      <c r="G967" s="1" t="str">
        <f t="shared" si="31"/>
        <v>Mon</v>
      </c>
      <c r="H967" s="7">
        <v>1813</v>
      </c>
      <c r="I967" s="6">
        <v>296</v>
      </c>
    </row>
    <row r="968" spans="1:9" x14ac:dyDescent="0.25">
      <c r="A968" t="s">
        <v>55</v>
      </c>
      <c r="B968" t="s">
        <v>10</v>
      </c>
      <c r="C968" t="s">
        <v>47</v>
      </c>
      <c r="D968" s="1">
        <v>44664</v>
      </c>
      <c r="E968" s="1" t="str">
        <f>TEXT(Sales[[#This Row],[Date]],"mmm")</f>
        <v>Apr</v>
      </c>
      <c r="F968" s="1" t="str">
        <f t="shared" si="30"/>
        <v>2022</v>
      </c>
      <c r="G968" s="1" t="str">
        <f t="shared" si="31"/>
        <v>Wed</v>
      </c>
      <c r="H968" s="7">
        <v>11788</v>
      </c>
      <c r="I968" s="6">
        <v>73</v>
      </c>
    </row>
    <row r="969" spans="1:9" x14ac:dyDescent="0.25">
      <c r="A969" t="s">
        <v>12</v>
      </c>
      <c r="B969" t="s">
        <v>15</v>
      </c>
      <c r="C969" t="s">
        <v>16</v>
      </c>
      <c r="D969" s="1">
        <v>44586</v>
      </c>
      <c r="E969" s="1" t="str">
        <f>TEXT(Sales[[#This Row],[Date]],"mmm")</f>
        <v>Jan</v>
      </c>
      <c r="F969" s="1" t="str">
        <f t="shared" si="30"/>
        <v>2022</v>
      </c>
      <c r="G969" s="1" t="str">
        <f t="shared" si="31"/>
        <v>Tue</v>
      </c>
      <c r="H969" s="7">
        <v>5768</v>
      </c>
      <c r="I969" s="6">
        <v>119</v>
      </c>
    </row>
    <row r="970" spans="1:9" x14ac:dyDescent="0.25">
      <c r="A970" t="s">
        <v>50</v>
      </c>
      <c r="B970" t="s">
        <v>26</v>
      </c>
      <c r="C970" t="s">
        <v>11</v>
      </c>
      <c r="D970" s="1">
        <v>44676</v>
      </c>
      <c r="E970" s="1" t="str">
        <f>TEXT(Sales[[#This Row],[Date]],"mmm")</f>
        <v>Apr</v>
      </c>
      <c r="F970" s="1" t="str">
        <f t="shared" si="30"/>
        <v>2022</v>
      </c>
      <c r="G970" s="1" t="str">
        <f t="shared" si="31"/>
        <v>Mon</v>
      </c>
      <c r="H970" s="7">
        <v>2401</v>
      </c>
      <c r="I970" s="6">
        <v>78</v>
      </c>
    </row>
    <row r="971" spans="1:9" x14ac:dyDescent="0.25">
      <c r="A971" t="s">
        <v>50</v>
      </c>
      <c r="B971" t="s">
        <v>26</v>
      </c>
      <c r="C971" t="s">
        <v>30</v>
      </c>
      <c r="D971" s="1">
        <v>44722</v>
      </c>
      <c r="E971" s="1" t="str">
        <f>TEXT(Sales[[#This Row],[Date]],"mmm")</f>
        <v>Jun</v>
      </c>
      <c r="F971" s="1" t="str">
        <f t="shared" si="30"/>
        <v>2022</v>
      </c>
      <c r="G971" s="1" t="str">
        <f t="shared" si="31"/>
        <v>Fri</v>
      </c>
      <c r="H971" s="7">
        <v>4515</v>
      </c>
      <c r="I971" s="6">
        <v>392</v>
      </c>
    </row>
    <row r="972" spans="1:9" x14ac:dyDescent="0.25">
      <c r="A972" t="s">
        <v>53</v>
      </c>
      <c r="B972" t="s">
        <v>21</v>
      </c>
      <c r="C972" t="s">
        <v>44</v>
      </c>
      <c r="D972" s="1">
        <v>44795</v>
      </c>
      <c r="E972" s="1" t="str">
        <f>TEXT(Sales[[#This Row],[Date]],"mmm")</f>
        <v>Aug</v>
      </c>
      <c r="F972" s="1" t="str">
        <f t="shared" si="30"/>
        <v>2022</v>
      </c>
      <c r="G972" s="1" t="str">
        <f t="shared" si="31"/>
        <v>Mon</v>
      </c>
      <c r="H972" s="7">
        <v>10794</v>
      </c>
      <c r="I972" s="6">
        <v>51</v>
      </c>
    </row>
    <row r="973" spans="1:9" x14ac:dyDescent="0.25">
      <c r="A973" t="s">
        <v>9</v>
      </c>
      <c r="B973" t="s">
        <v>10</v>
      </c>
      <c r="C973" t="s">
        <v>20</v>
      </c>
      <c r="D973" s="1">
        <v>44739</v>
      </c>
      <c r="E973" s="1" t="str">
        <f>TEXT(Sales[[#This Row],[Date]],"mmm")</f>
        <v>Jun</v>
      </c>
      <c r="F973" s="1" t="str">
        <f t="shared" si="30"/>
        <v>2022</v>
      </c>
      <c r="G973" s="1" t="str">
        <f t="shared" si="31"/>
        <v>Mon</v>
      </c>
      <c r="H973" s="7">
        <v>13706</v>
      </c>
      <c r="I973" s="6">
        <v>207</v>
      </c>
    </row>
    <row r="974" spans="1:9" x14ac:dyDescent="0.25">
      <c r="A974" t="s">
        <v>40</v>
      </c>
      <c r="B974" t="s">
        <v>10</v>
      </c>
      <c r="C974" t="s">
        <v>27</v>
      </c>
      <c r="D974" s="1">
        <v>44742</v>
      </c>
      <c r="E974" s="1" t="str">
        <f>TEXT(Sales[[#This Row],[Date]],"mmm")</f>
        <v>Jun</v>
      </c>
      <c r="F974" s="1" t="str">
        <f t="shared" si="30"/>
        <v>2022</v>
      </c>
      <c r="G974" s="1" t="str">
        <f t="shared" si="31"/>
        <v>Thu</v>
      </c>
      <c r="H974" s="7">
        <v>4361</v>
      </c>
      <c r="I974" s="6">
        <v>40</v>
      </c>
    </row>
    <row r="975" spans="1:9" x14ac:dyDescent="0.25">
      <c r="A975" t="s">
        <v>6</v>
      </c>
      <c r="B975" t="s">
        <v>10</v>
      </c>
      <c r="C975" t="s">
        <v>47</v>
      </c>
      <c r="D975" s="1">
        <v>44803</v>
      </c>
      <c r="E975" s="1" t="str">
        <f>TEXT(Sales[[#This Row],[Date]],"mmm")</f>
        <v>Aug</v>
      </c>
      <c r="F975" s="1" t="str">
        <f t="shared" si="30"/>
        <v>2022</v>
      </c>
      <c r="G975" s="1" t="str">
        <f t="shared" si="31"/>
        <v>Tue</v>
      </c>
      <c r="H975" s="7">
        <v>10122</v>
      </c>
      <c r="I975" s="6">
        <v>100</v>
      </c>
    </row>
    <row r="976" spans="1:9" x14ac:dyDescent="0.25">
      <c r="A976" t="s">
        <v>31</v>
      </c>
      <c r="B976" t="s">
        <v>15</v>
      </c>
      <c r="C976" t="s">
        <v>51</v>
      </c>
      <c r="D976" s="1">
        <v>44796</v>
      </c>
      <c r="E976" s="1" t="str">
        <f>TEXT(Sales[[#This Row],[Date]],"mmm")</f>
        <v>Aug</v>
      </c>
      <c r="F976" s="1" t="str">
        <f t="shared" si="30"/>
        <v>2022</v>
      </c>
      <c r="G976" s="1" t="str">
        <f t="shared" si="31"/>
        <v>Tue</v>
      </c>
      <c r="H976" s="7">
        <v>994</v>
      </c>
      <c r="I976" s="6">
        <v>57</v>
      </c>
    </row>
    <row r="977" spans="1:9" x14ac:dyDescent="0.25">
      <c r="A977" t="s">
        <v>50</v>
      </c>
      <c r="B977" t="s">
        <v>21</v>
      </c>
      <c r="C977" t="s">
        <v>18</v>
      </c>
      <c r="D977" s="1">
        <v>44799</v>
      </c>
      <c r="E977" s="1" t="str">
        <f>TEXT(Sales[[#This Row],[Date]],"mmm")</f>
        <v>Aug</v>
      </c>
      <c r="F977" s="1" t="str">
        <f t="shared" si="30"/>
        <v>2022</v>
      </c>
      <c r="G977" s="1" t="str">
        <f t="shared" si="31"/>
        <v>Fri</v>
      </c>
      <c r="H977" s="7">
        <v>2268</v>
      </c>
      <c r="I977" s="6">
        <v>42</v>
      </c>
    </row>
    <row r="978" spans="1:9" x14ac:dyDescent="0.25">
      <c r="A978" t="s">
        <v>12</v>
      </c>
      <c r="B978" t="s">
        <v>15</v>
      </c>
      <c r="C978" t="s">
        <v>27</v>
      </c>
      <c r="D978" s="1">
        <v>44629</v>
      </c>
      <c r="E978" s="1" t="str">
        <f>TEXT(Sales[[#This Row],[Date]],"mmm")</f>
        <v>Mar</v>
      </c>
      <c r="F978" s="1" t="str">
        <f t="shared" si="30"/>
        <v>2022</v>
      </c>
      <c r="G978" s="1" t="str">
        <f t="shared" si="31"/>
        <v>Wed</v>
      </c>
      <c r="H978" s="7">
        <v>574</v>
      </c>
      <c r="I978" s="6">
        <v>156</v>
      </c>
    </row>
    <row r="979" spans="1:9" x14ac:dyDescent="0.25">
      <c r="A979" t="s">
        <v>49</v>
      </c>
      <c r="B979" t="s">
        <v>7</v>
      </c>
      <c r="C979" t="s">
        <v>32</v>
      </c>
      <c r="D979" s="1">
        <v>44671</v>
      </c>
      <c r="E979" s="1" t="str">
        <f>TEXT(Sales[[#This Row],[Date]],"mmm")</f>
        <v>Apr</v>
      </c>
      <c r="F979" s="1" t="str">
        <f t="shared" si="30"/>
        <v>2022</v>
      </c>
      <c r="G979" s="1" t="str">
        <f t="shared" si="31"/>
        <v>Wed</v>
      </c>
      <c r="H979" s="7">
        <v>1792</v>
      </c>
      <c r="I979" s="6">
        <v>23</v>
      </c>
    </row>
    <row r="980" spans="1:9" x14ac:dyDescent="0.25">
      <c r="A980" t="s">
        <v>28</v>
      </c>
      <c r="B980" t="s">
        <v>29</v>
      </c>
      <c r="C980" t="s">
        <v>57</v>
      </c>
      <c r="D980" s="1">
        <v>44722</v>
      </c>
      <c r="E980" s="1" t="str">
        <f>TEXT(Sales[[#This Row],[Date]],"mmm")</f>
        <v>Jun</v>
      </c>
      <c r="F980" s="1" t="str">
        <f t="shared" si="30"/>
        <v>2022</v>
      </c>
      <c r="G980" s="1" t="str">
        <f t="shared" si="31"/>
        <v>Fri</v>
      </c>
      <c r="H980" s="7">
        <v>4844</v>
      </c>
      <c r="I980" s="6">
        <v>539</v>
      </c>
    </row>
    <row r="981" spans="1:9" x14ac:dyDescent="0.25">
      <c r="A981" t="s">
        <v>40</v>
      </c>
      <c r="B981" t="s">
        <v>15</v>
      </c>
      <c r="C981" t="s">
        <v>35</v>
      </c>
      <c r="D981" s="1">
        <v>44600</v>
      </c>
      <c r="E981" s="1" t="str">
        <f>TEXT(Sales[[#This Row],[Date]],"mmm")</f>
        <v>Feb</v>
      </c>
      <c r="F981" s="1" t="str">
        <f t="shared" si="30"/>
        <v>2022</v>
      </c>
      <c r="G981" s="1" t="str">
        <f t="shared" si="31"/>
        <v>Tue</v>
      </c>
      <c r="H981" s="7">
        <v>938</v>
      </c>
      <c r="I981" s="6">
        <v>158</v>
      </c>
    </row>
    <row r="982" spans="1:9" x14ac:dyDescent="0.25">
      <c r="A982" t="s">
        <v>23</v>
      </c>
      <c r="B982" t="s">
        <v>15</v>
      </c>
      <c r="C982" t="s">
        <v>44</v>
      </c>
      <c r="D982" s="1">
        <v>44798</v>
      </c>
      <c r="E982" s="1" t="str">
        <f>TEXT(Sales[[#This Row],[Date]],"mmm")</f>
        <v>Aug</v>
      </c>
      <c r="F982" s="1" t="str">
        <f t="shared" si="30"/>
        <v>2022</v>
      </c>
      <c r="G982" s="1" t="str">
        <f t="shared" si="31"/>
        <v>Thu</v>
      </c>
      <c r="H982" s="7">
        <v>4879</v>
      </c>
      <c r="I982" s="6">
        <v>22</v>
      </c>
    </row>
    <row r="983" spans="1:9" x14ac:dyDescent="0.25">
      <c r="A983" t="s">
        <v>54</v>
      </c>
      <c r="B983" t="s">
        <v>10</v>
      </c>
      <c r="C983" t="s">
        <v>13</v>
      </c>
      <c r="D983" s="1">
        <v>44608</v>
      </c>
      <c r="E983" s="1" t="str">
        <f>TEXT(Sales[[#This Row],[Date]],"mmm")</f>
        <v>Feb</v>
      </c>
      <c r="F983" s="1" t="str">
        <f t="shared" si="30"/>
        <v>2022</v>
      </c>
      <c r="G983" s="1" t="str">
        <f t="shared" si="31"/>
        <v>Wed</v>
      </c>
      <c r="H983" s="7">
        <v>9107</v>
      </c>
      <c r="I983" s="6">
        <v>73</v>
      </c>
    </row>
    <row r="984" spans="1:9" x14ac:dyDescent="0.25">
      <c r="A984" t="s">
        <v>43</v>
      </c>
      <c r="B984" t="s">
        <v>7</v>
      </c>
      <c r="C984" t="s">
        <v>18</v>
      </c>
      <c r="D984" s="1">
        <v>44711</v>
      </c>
      <c r="E984" s="1" t="str">
        <f>TEXT(Sales[[#This Row],[Date]],"mmm")</f>
        <v>May</v>
      </c>
      <c r="F984" s="1" t="str">
        <f t="shared" si="30"/>
        <v>2022</v>
      </c>
      <c r="G984" s="1" t="str">
        <f t="shared" si="31"/>
        <v>Mon</v>
      </c>
      <c r="H984" s="7">
        <v>12187</v>
      </c>
      <c r="I984" s="6">
        <v>27</v>
      </c>
    </row>
    <row r="985" spans="1:9" x14ac:dyDescent="0.25">
      <c r="A985" t="s">
        <v>12</v>
      </c>
      <c r="B985" t="s">
        <v>21</v>
      </c>
      <c r="C985" t="s">
        <v>22</v>
      </c>
      <c r="D985" s="1">
        <v>44741</v>
      </c>
      <c r="E985" s="1" t="str">
        <f>TEXT(Sales[[#This Row],[Date]],"mmm")</f>
        <v>Jun</v>
      </c>
      <c r="F985" s="1" t="str">
        <f t="shared" si="30"/>
        <v>2022</v>
      </c>
      <c r="G985" s="1" t="str">
        <f t="shared" si="31"/>
        <v>Wed</v>
      </c>
      <c r="H985" s="7">
        <v>5670</v>
      </c>
      <c r="I985" s="6">
        <v>64</v>
      </c>
    </row>
    <row r="986" spans="1:9" x14ac:dyDescent="0.25">
      <c r="A986" t="s">
        <v>12</v>
      </c>
      <c r="B986" t="s">
        <v>26</v>
      </c>
      <c r="C986" t="s">
        <v>37</v>
      </c>
      <c r="D986" s="1">
        <v>44728</v>
      </c>
      <c r="E986" s="1" t="str">
        <f>TEXT(Sales[[#This Row],[Date]],"mmm")</f>
        <v>Jun</v>
      </c>
      <c r="F986" s="1" t="str">
        <f t="shared" si="30"/>
        <v>2022</v>
      </c>
      <c r="G986" s="1" t="str">
        <f t="shared" si="31"/>
        <v>Thu</v>
      </c>
      <c r="H986" s="7">
        <v>476</v>
      </c>
      <c r="I986" s="6">
        <v>133</v>
      </c>
    </row>
    <row r="987" spans="1:9" x14ac:dyDescent="0.25">
      <c r="A987" t="s">
        <v>23</v>
      </c>
      <c r="B987" t="s">
        <v>7</v>
      </c>
      <c r="C987" t="s">
        <v>57</v>
      </c>
      <c r="D987" s="1">
        <v>44624</v>
      </c>
      <c r="E987" s="1" t="str">
        <f>TEXT(Sales[[#This Row],[Date]],"mmm")</f>
        <v>Mar</v>
      </c>
      <c r="F987" s="1" t="str">
        <f t="shared" si="30"/>
        <v>2022</v>
      </c>
      <c r="G987" s="1" t="str">
        <f t="shared" si="31"/>
        <v>Fri</v>
      </c>
      <c r="H987" s="7">
        <v>2681</v>
      </c>
      <c r="I987" s="6">
        <v>149</v>
      </c>
    </row>
    <row r="988" spans="1:9" x14ac:dyDescent="0.25">
      <c r="A988" t="s">
        <v>38</v>
      </c>
      <c r="B988" t="s">
        <v>21</v>
      </c>
      <c r="C988" t="s">
        <v>13</v>
      </c>
      <c r="D988" s="1">
        <v>44635</v>
      </c>
      <c r="E988" s="1" t="str">
        <f>TEXT(Sales[[#This Row],[Date]],"mmm")</f>
        <v>Mar</v>
      </c>
      <c r="F988" s="1" t="str">
        <f t="shared" si="30"/>
        <v>2022</v>
      </c>
      <c r="G988" s="1" t="str">
        <f t="shared" si="31"/>
        <v>Tue</v>
      </c>
      <c r="H988" s="7">
        <v>1533</v>
      </c>
      <c r="I988" s="6">
        <v>434</v>
      </c>
    </row>
    <row r="989" spans="1:9" x14ac:dyDescent="0.25">
      <c r="A989" t="s">
        <v>38</v>
      </c>
      <c r="B989" t="s">
        <v>21</v>
      </c>
      <c r="C989" t="s">
        <v>22</v>
      </c>
      <c r="D989" s="1">
        <v>44588</v>
      </c>
      <c r="E989" s="1" t="str">
        <f>TEXT(Sales[[#This Row],[Date]],"mmm")</f>
        <v>Jan</v>
      </c>
      <c r="F989" s="1" t="str">
        <f t="shared" si="30"/>
        <v>2022</v>
      </c>
      <c r="G989" s="1" t="str">
        <f t="shared" si="31"/>
        <v>Thu</v>
      </c>
      <c r="H989" s="7">
        <v>9765</v>
      </c>
      <c r="I989" s="6">
        <v>85</v>
      </c>
    </row>
    <row r="990" spans="1:9" x14ac:dyDescent="0.25">
      <c r="A990" t="s">
        <v>34</v>
      </c>
      <c r="B990" t="s">
        <v>29</v>
      </c>
      <c r="C990" t="s">
        <v>32</v>
      </c>
      <c r="D990" s="1">
        <v>44747</v>
      </c>
      <c r="E990" s="1" t="str">
        <f>TEXT(Sales[[#This Row],[Date]],"mmm")</f>
        <v>Jul</v>
      </c>
      <c r="F990" s="1" t="str">
        <f t="shared" si="30"/>
        <v>2022</v>
      </c>
      <c r="G990" s="1" t="str">
        <f t="shared" si="31"/>
        <v>Tue</v>
      </c>
      <c r="H990" s="7">
        <v>994</v>
      </c>
      <c r="I990" s="6">
        <v>118</v>
      </c>
    </row>
    <row r="991" spans="1:9" x14ac:dyDescent="0.25">
      <c r="A991" t="s">
        <v>25</v>
      </c>
      <c r="B991" t="s">
        <v>26</v>
      </c>
      <c r="C991" t="s">
        <v>57</v>
      </c>
      <c r="D991" s="1">
        <v>44649</v>
      </c>
      <c r="E991" s="1" t="str">
        <f>TEXT(Sales[[#This Row],[Date]],"mmm")</f>
        <v>Mar</v>
      </c>
      <c r="F991" s="1" t="str">
        <f t="shared" si="30"/>
        <v>2022</v>
      </c>
      <c r="G991" s="1" t="str">
        <f t="shared" si="31"/>
        <v>Tue</v>
      </c>
      <c r="H991" s="7">
        <v>3318</v>
      </c>
      <c r="I991" s="6">
        <v>299</v>
      </c>
    </row>
    <row r="992" spans="1:9" x14ac:dyDescent="0.25">
      <c r="A992" t="s">
        <v>28</v>
      </c>
      <c r="B992" t="s">
        <v>29</v>
      </c>
      <c r="C992" t="s">
        <v>47</v>
      </c>
      <c r="D992" s="1">
        <v>44693</v>
      </c>
      <c r="E992" s="1" t="str">
        <f>TEXT(Sales[[#This Row],[Date]],"mmm")</f>
        <v>May</v>
      </c>
      <c r="F992" s="1" t="str">
        <f t="shared" si="30"/>
        <v>2022</v>
      </c>
      <c r="G992" s="1" t="str">
        <f t="shared" si="31"/>
        <v>Thu</v>
      </c>
      <c r="H992" s="7">
        <v>4214</v>
      </c>
      <c r="I992" s="6">
        <v>35</v>
      </c>
    </row>
    <row r="993" spans="1:9" x14ac:dyDescent="0.25">
      <c r="A993" t="s">
        <v>17</v>
      </c>
      <c r="B993" t="s">
        <v>26</v>
      </c>
      <c r="C993" t="s">
        <v>32</v>
      </c>
      <c r="D993" s="1">
        <v>44631</v>
      </c>
      <c r="E993" s="1" t="str">
        <f>TEXT(Sales[[#This Row],[Date]],"mmm")</f>
        <v>Mar</v>
      </c>
      <c r="F993" s="1" t="str">
        <f t="shared" si="30"/>
        <v>2022</v>
      </c>
      <c r="G993" s="1" t="str">
        <f t="shared" si="31"/>
        <v>Fri</v>
      </c>
      <c r="H993" s="7">
        <v>7714</v>
      </c>
      <c r="I993" s="6">
        <v>44</v>
      </c>
    </row>
    <row r="994" spans="1:9" x14ac:dyDescent="0.25">
      <c r="A994" t="s">
        <v>23</v>
      </c>
      <c r="B994" t="s">
        <v>21</v>
      </c>
      <c r="C994" t="s">
        <v>30</v>
      </c>
      <c r="D994" s="1">
        <v>44753</v>
      </c>
      <c r="E994" s="1" t="str">
        <f>TEXT(Sales[[#This Row],[Date]],"mmm")</f>
        <v>Jul</v>
      </c>
      <c r="F994" s="1" t="str">
        <f t="shared" si="30"/>
        <v>2022</v>
      </c>
      <c r="G994" s="1" t="str">
        <f t="shared" si="31"/>
        <v>Mon</v>
      </c>
      <c r="H994" s="7">
        <v>4690</v>
      </c>
      <c r="I994" s="6">
        <v>299</v>
      </c>
    </row>
    <row r="995" spans="1:9" x14ac:dyDescent="0.25">
      <c r="A995" t="s">
        <v>19</v>
      </c>
      <c r="B995" t="s">
        <v>21</v>
      </c>
      <c r="C995" t="s">
        <v>52</v>
      </c>
      <c r="D995" s="1">
        <v>44774</v>
      </c>
      <c r="E995" s="1" t="str">
        <f>TEXT(Sales[[#This Row],[Date]],"mmm")</f>
        <v>Aug</v>
      </c>
      <c r="F995" s="1" t="str">
        <f t="shared" si="30"/>
        <v>2022</v>
      </c>
      <c r="G995" s="1" t="str">
        <f t="shared" si="31"/>
        <v>Mon</v>
      </c>
      <c r="H995" s="7">
        <v>13062</v>
      </c>
      <c r="I995" s="6">
        <v>62</v>
      </c>
    </row>
    <row r="996" spans="1:9" x14ac:dyDescent="0.25">
      <c r="A996" t="s">
        <v>19</v>
      </c>
      <c r="B996" t="s">
        <v>7</v>
      </c>
      <c r="C996" t="s">
        <v>39</v>
      </c>
      <c r="D996" s="1">
        <v>44608</v>
      </c>
      <c r="E996" s="1" t="str">
        <f>TEXT(Sales[[#This Row],[Date]],"mmm")</f>
        <v>Feb</v>
      </c>
      <c r="F996" s="1" t="str">
        <f t="shared" si="30"/>
        <v>2022</v>
      </c>
      <c r="G996" s="1" t="str">
        <f t="shared" si="31"/>
        <v>Wed</v>
      </c>
      <c r="H996" s="7">
        <v>12488</v>
      </c>
      <c r="I996" s="6">
        <v>200</v>
      </c>
    </row>
    <row r="997" spans="1:9" x14ac:dyDescent="0.25">
      <c r="A997" t="s">
        <v>38</v>
      </c>
      <c r="B997" t="s">
        <v>26</v>
      </c>
      <c r="C997" t="s">
        <v>20</v>
      </c>
      <c r="D997" s="1">
        <v>44664</v>
      </c>
      <c r="E997" s="1" t="str">
        <f>TEXT(Sales[[#This Row],[Date]],"mmm")</f>
        <v>Apr</v>
      </c>
      <c r="F997" s="1" t="str">
        <f t="shared" si="30"/>
        <v>2022</v>
      </c>
      <c r="G997" s="1" t="str">
        <f t="shared" si="31"/>
        <v>Wed</v>
      </c>
      <c r="H997" s="7">
        <v>14147</v>
      </c>
      <c r="I997" s="6">
        <v>235</v>
      </c>
    </row>
    <row r="998" spans="1:9" x14ac:dyDescent="0.25">
      <c r="A998" t="s">
        <v>17</v>
      </c>
      <c r="B998" t="s">
        <v>10</v>
      </c>
      <c r="C998" t="s">
        <v>52</v>
      </c>
      <c r="D998" s="1">
        <v>44606</v>
      </c>
      <c r="E998" s="1" t="str">
        <f>TEXT(Sales[[#This Row],[Date]],"mmm")</f>
        <v>Feb</v>
      </c>
      <c r="F998" s="1" t="str">
        <f t="shared" si="30"/>
        <v>2022</v>
      </c>
      <c r="G998" s="1" t="str">
        <f t="shared" si="31"/>
        <v>Mon</v>
      </c>
      <c r="H998" s="7">
        <v>49</v>
      </c>
      <c r="I998" s="6">
        <v>363</v>
      </c>
    </row>
    <row r="999" spans="1:9" x14ac:dyDescent="0.25">
      <c r="A999" t="s">
        <v>55</v>
      </c>
      <c r="B999" t="s">
        <v>15</v>
      </c>
      <c r="C999" t="s">
        <v>13</v>
      </c>
      <c r="D999" s="1">
        <v>44634</v>
      </c>
      <c r="E999" s="1" t="str">
        <f>TEXT(Sales[[#This Row],[Date]],"mmm")</f>
        <v>Mar</v>
      </c>
      <c r="F999" s="1" t="str">
        <f t="shared" si="30"/>
        <v>2022</v>
      </c>
      <c r="G999" s="1" t="str">
        <f t="shared" si="31"/>
        <v>Mon</v>
      </c>
      <c r="H999" s="7">
        <v>10199</v>
      </c>
      <c r="I999" s="6">
        <v>68</v>
      </c>
    </row>
    <row r="1000" spans="1:9" x14ac:dyDescent="0.25">
      <c r="A1000" t="s">
        <v>17</v>
      </c>
      <c r="B1000" t="s">
        <v>15</v>
      </c>
      <c r="C1000" t="s">
        <v>39</v>
      </c>
      <c r="D1000" s="1">
        <v>44677</v>
      </c>
      <c r="E1000" s="1" t="str">
        <f>TEXT(Sales[[#This Row],[Date]],"mmm")</f>
        <v>Apr</v>
      </c>
      <c r="F1000" s="1" t="str">
        <f t="shared" si="30"/>
        <v>2022</v>
      </c>
      <c r="G1000" s="1" t="str">
        <f t="shared" si="31"/>
        <v>Tue</v>
      </c>
      <c r="H1000" s="7">
        <v>11389</v>
      </c>
      <c r="I1000" s="6">
        <v>26</v>
      </c>
    </row>
    <row r="1001" spans="1:9" x14ac:dyDescent="0.25">
      <c r="A1001" t="s">
        <v>6</v>
      </c>
      <c r="B1001" t="s">
        <v>29</v>
      </c>
      <c r="C1001" t="s">
        <v>45</v>
      </c>
      <c r="D1001" s="1">
        <v>44656</v>
      </c>
      <c r="E1001" s="1" t="str">
        <f>TEXT(Sales[[#This Row],[Date]],"mmm")</f>
        <v>Apr</v>
      </c>
      <c r="F1001" s="1" t="str">
        <f t="shared" si="30"/>
        <v>2022</v>
      </c>
      <c r="G1001" s="1" t="str">
        <f t="shared" si="31"/>
        <v>Tue</v>
      </c>
      <c r="H1001" s="7">
        <v>3584</v>
      </c>
      <c r="I1001" s="6">
        <v>200</v>
      </c>
    </row>
    <row r="1002" spans="1:9" x14ac:dyDescent="0.25">
      <c r="A1002" t="s">
        <v>50</v>
      </c>
      <c r="B1002" t="s">
        <v>29</v>
      </c>
      <c r="C1002" t="s">
        <v>32</v>
      </c>
      <c r="D1002" s="1">
        <v>44623</v>
      </c>
      <c r="E1002" s="1" t="str">
        <f>TEXT(Sales[[#This Row],[Date]],"mmm")</f>
        <v>Mar</v>
      </c>
      <c r="F1002" s="1" t="str">
        <f t="shared" si="30"/>
        <v>2022</v>
      </c>
      <c r="G1002" s="1" t="str">
        <f t="shared" si="31"/>
        <v>Thu</v>
      </c>
      <c r="H1002" s="7">
        <v>12481</v>
      </c>
      <c r="I1002" s="6">
        <v>264</v>
      </c>
    </row>
    <row r="1003" spans="1:9" x14ac:dyDescent="0.25">
      <c r="A1003" t="s">
        <v>41</v>
      </c>
      <c r="B1003" t="s">
        <v>26</v>
      </c>
      <c r="C1003" t="s">
        <v>39</v>
      </c>
      <c r="D1003" s="1">
        <v>44725</v>
      </c>
      <c r="E1003" s="1" t="str">
        <f>TEXT(Sales[[#This Row],[Date]],"mmm")</f>
        <v>Jun</v>
      </c>
      <c r="F1003" s="1" t="str">
        <f t="shared" si="30"/>
        <v>2022</v>
      </c>
      <c r="G1003" s="1" t="str">
        <f t="shared" si="31"/>
        <v>Mon</v>
      </c>
      <c r="H1003" s="7">
        <v>2107</v>
      </c>
      <c r="I1003" s="6">
        <v>175</v>
      </c>
    </row>
    <row r="1004" spans="1:9" x14ac:dyDescent="0.25">
      <c r="A1004" t="s">
        <v>33</v>
      </c>
      <c r="B1004" t="s">
        <v>21</v>
      </c>
      <c r="C1004" t="s">
        <v>58</v>
      </c>
      <c r="D1004" s="1">
        <v>44606</v>
      </c>
      <c r="E1004" s="1" t="str">
        <f>TEXT(Sales[[#This Row],[Date]],"mmm")</f>
        <v>Feb</v>
      </c>
      <c r="F1004" s="1" t="str">
        <f t="shared" si="30"/>
        <v>2022</v>
      </c>
      <c r="G1004" s="1" t="str">
        <f t="shared" si="31"/>
        <v>Mon</v>
      </c>
      <c r="H1004" s="7">
        <v>8603</v>
      </c>
      <c r="I1004" s="6">
        <v>352</v>
      </c>
    </row>
    <row r="1005" spans="1:9" x14ac:dyDescent="0.25">
      <c r="A1005" t="s">
        <v>36</v>
      </c>
      <c r="B1005" t="s">
        <v>21</v>
      </c>
      <c r="C1005" t="s">
        <v>18</v>
      </c>
      <c r="D1005" s="1">
        <v>44669</v>
      </c>
      <c r="E1005" s="1" t="str">
        <f>TEXT(Sales[[#This Row],[Date]],"mmm")</f>
        <v>Apr</v>
      </c>
      <c r="F1005" s="1" t="str">
        <f t="shared" si="30"/>
        <v>2022</v>
      </c>
      <c r="G1005" s="1" t="str">
        <f t="shared" si="31"/>
        <v>Mon</v>
      </c>
      <c r="H1005" s="7">
        <v>7483</v>
      </c>
      <c r="I1005" s="6">
        <v>183</v>
      </c>
    </row>
    <row r="1006" spans="1:9" x14ac:dyDescent="0.25">
      <c r="A1006" t="s">
        <v>17</v>
      </c>
      <c r="B1006" t="s">
        <v>21</v>
      </c>
      <c r="C1006" t="s">
        <v>11</v>
      </c>
      <c r="D1006" s="1">
        <v>44593</v>
      </c>
      <c r="E1006" s="1" t="str">
        <f>TEXT(Sales[[#This Row],[Date]],"mmm")</f>
        <v>Feb</v>
      </c>
      <c r="F1006" s="1" t="str">
        <f t="shared" si="30"/>
        <v>2022</v>
      </c>
      <c r="G1006" s="1" t="str">
        <f t="shared" si="31"/>
        <v>Tue</v>
      </c>
      <c r="H1006" s="7">
        <v>3381</v>
      </c>
      <c r="I1006" s="6">
        <v>417</v>
      </c>
    </row>
    <row r="1007" spans="1:9" x14ac:dyDescent="0.25">
      <c r="A1007" t="s">
        <v>54</v>
      </c>
      <c r="B1007" t="s">
        <v>21</v>
      </c>
      <c r="C1007" t="s">
        <v>27</v>
      </c>
      <c r="D1007" s="1">
        <v>44777</v>
      </c>
      <c r="E1007" s="1" t="str">
        <f>TEXT(Sales[[#This Row],[Date]],"mmm")</f>
        <v>Aug</v>
      </c>
      <c r="F1007" s="1" t="str">
        <f t="shared" si="30"/>
        <v>2022</v>
      </c>
      <c r="G1007" s="1" t="str">
        <f t="shared" si="31"/>
        <v>Thu</v>
      </c>
      <c r="H1007" s="7">
        <v>2030</v>
      </c>
      <c r="I1007" s="6">
        <v>146</v>
      </c>
    </row>
    <row r="1008" spans="1:9" x14ac:dyDescent="0.25">
      <c r="A1008" t="s">
        <v>48</v>
      </c>
      <c r="B1008" t="s">
        <v>21</v>
      </c>
      <c r="C1008" t="s">
        <v>47</v>
      </c>
      <c r="D1008" s="1">
        <v>44656</v>
      </c>
      <c r="E1008" s="1" t="str">
        <f>TEXT(Sales[[#This Row],[Date]],"mmm")</f>
        <v>Apr</v>
      </c>
      <c r="F1008" s="1" t="str">
        <f t="shared" si="30"/>
        <v>2022</v>
      </c>
      <c r="G1008" s="1" t="str">
        <f t="shared" si="31"/>
        <v>Tue</v>
      </c>
      <c r="H1008" s="7">
        <v>6559</v>
      </c>
      <c r="I1008" s="6">
        <v>158</v>
      </c>
    </row>
    <row r="1009" spans="1:9" x14ac:dyDescent="0.25">
      <c r="A1009" t="s">
        <v>31</v>
      </c>
      <c r="B1009" t="s">
        <v>15</v>
      </c>
      <c r="C1009" t="s">
        <v>18</v>
      </c>
      <c r="D1009" s="1">
        <v>44587</v>
      </c>
      <c r="E1009" s="1" t="str">
        <f>TEXT(Sales[[#This Row],[Date]],"mmm")</f>
        <v>Jan</v>
      </c>
      <c r="F1009" s="1" t="str">
        <f t="shared" si="30"/>
        <v>2022</v>
      </c>
      <c r="G1009" s="1" t="str">
        <f t="shared" si="31"/>
        <v>Wed</v>
      </c>
      <c r="H1009" s="7">
        <v>10822</v>
      </c>
      <c r="I1009" s="6">
        <v>168</v>
      </c>
    </row>
    <row r="1010" spans="1:9" x14ac:dyDescent="0.25">
      <c r="A1010" t="s">
        <v>41</v>
      </c>
      <c r="B1010" t="s">
        <v>7</v>
      </c>
      <c r="C1010" t="s">
        <v>20</v>
      </c>
      <c r="D1010" s="1">
        <v>44582</v>
      </c>
      <c r="E1010" s="1" t="str">
        <f>TEXT(Sales[[#This Row],[Date]],"mmm")</f>
        <v>Jan</v>
      </c>
      <c r="F1010" s="1" t="str">
        <f t="shared" si="30"/>
        <v>2022</v>
      </c>
      <c r="G1010" s="1" t="str">
        <f t="shared" si="31"/>
        <v>Fri</v>
      </c>
      <c r="H1010" s="7">
        <v>18697</v>
      </c>
      <c r="I1010" s="6">
        <v>176</v>
      </c>
    </row>
    <row r="1011" spans="1:9" x14ac:dyDescent="0.25">
      <c r="A1011" t="s">
        <v>41</v>
      </c>
      <c r="B1011" t="s">
        <v>29</v>
      </c>
      <c r="C1011" t="s">
        <v>20</v>
      </c>
      <c r="D1011" s="1">
        <v>44795</v>
      </c>
      <c r="E1011" s="1" t="str">
        <f>TEXT(Sales[[#This Row],[Date]],"mmm")</f>
        <v>Aug</v>
      </c>
      <c r="F1011" s="1" t="str">
        <f t="shared" si="30"/>
        <v>2022</v>
      </c>
      <c r="G1011" s="1" t="str">
        <f t="shared" si="31"/>
        <v>Mon</v>
      </c>
      <c r="H1011" s="7">
        <v>5845</v>
      </c>
      <c r="I1011" s="6">
        <v>172</v>
      </c>
    </row>
    <row r="1012" spans="1:9" x14ac:dyDescent="0.25">
      <c r="A1012" t="s">
        <v>41</v>
      </c>
      <c r="B1012" t="s">
        <v>7</v>
      </c>
      <c r="C1012" t="s">
        <v>32</v>
      </c>
      <c r="D1012" s="1">
        <v>44588</v>
      </c>
      <c r="E1012" s="1" t="str">
        <f>TEXT(Sales[[#This Row],[Date]],"mmm")</f>
        <v>Jan</v>
      </c>
      <c r="F1012" s="1" t="str">
        <f t="shared" si="30"/>
        <v>2022</v>
      </c>
      <c r="G1012" s="1" t="str">
        <f t="shared" si="31"/>
        <v>Thu</v>
      </c>
      <c r="H1012" s="7">
        <v>2317</v>
      </c>
      <c r="I1012" s="6">
        <v>224</v>
      </c>
    </row>
    <row r="1013" spans="1:9" x14ac:dyDescent="0.25">
      <c r="A1013" t="s">
        <v>24</v>
      </c>
      <c r="B1013" t="s">
        <v>7</v>
      </c>
      <c r="C1013" t="s">
        <v>22</v>
      </c>
      <c r="D1013" s="1">
        <v>44608</v>
      </c>
      <c r="E1013" s="1" t="str">
        <f>TEXT(Sales[[#This Row],[Date]],"mmm")</f>
        <v>Feb</v>
      </c>
      <c r="F1013" s="1" t="str">
        <f t="shared" si="30"/>
        <v>2022</v>
      </c>
      <c r="G1013" s="1" t="str">
        <f t="shared" si="31"/>
        <v>Wed</v>
      </c>
      <c r="H1013" s="7">
        <v>10150</v>
      </c>
      <c r="I1013" s="6">
        <v>68</v>
      </c>
    </row>
    <row r="1014" spans="1:9" x14ac:dyDescent="0.25">
      <c r="A1014" t="s">
        <v>54</v>
      </c>
      <c r="B1014" t="s">
        <v>26</v>
      </c>
      <c r="C1014" t="s">
        <v>51</v>
      </c>
      <c r="D1014" s="1">
        <v>44564</v>
      </c>
      <c r="E1014" s="1" t="str">
        <f>TEXT(Sales[[#This Row],[Date]],"mmm")</f>
        <v>Jan</v>
      </c>
      <c r="F1014" s="1" t="str">
        <f t="shared" si="30"/>
        <v>2022</v>
      </c>
      <c r="G1014" s="1" t="str">
        <f t="shared" si="31"/>
        <v>Mon</v>
      </c>
      <c r="H1014" s="7">
        <v>3437</v>
      </c>
      <c r="I1014" s="6">
        <v>46</v>
      </c>
    </row>
    <row r="1015" spans="1:9" x14ac:dyDescent="0.25">
      <c r="A1015" t="s">
        <v>31</v>
      </c>
      <c r="B1015" t="s">
        <v>26</v>
      </c>
      <c r="C1015" t="s">
        <v>44</v>
      </c>
      <c r="D1015" s="1">
        <v>44797</v>
      </c>
      <c r="E1015" s="1" t="str">
        <f>TEXT(Sales[[#This Row],[Date]],"mmm")</f>
        <v>Aug</v>
      </c>
      <c r="F1015" s="1" t="str">
        <f t="shared" si="30"/>
        <v>2022</v>
      </c>
      <c r="G1015" s="1" t="str">
        <f t="shared" si="31"/>
        <v>Wed</v>
      </c>
      <c r="H1015" s="7">
        <v>4592</v>
      </c>
      <c r="I1015" s="6">
        <v>2</v>
      </c>
    </row>
    <row r="1016" spans="1:9" x14ac:dyDescent="0.25">
      <c r="A1016" t="s">
        <v>17</v>
      </c>
      <c r="B1016" t="s">
        <v>26</v>
      </c>
      <c r="C1016" t="s">
        <v>39</v>
      </c>
      <c r="D1016" s="1">
        <v>44599</v>
      </c>
      <c r="E1016" s="1" t="str">
        <f>TEXT(Sales[[#This Row],[Date]],"mmm")</f>
        <v>Feb</v>
      </c>
      <c r="F1016" s="1" t="str">
        <f t="shared" si="30"/>
        <v>2022</v>
      </c>
      <c r="G1016" s="1" t="str">
        <f t="shared" si="31"/>
        <v>Mon</v>
      </c>
      <c r="H1016" s="7">
        <v>5691</v>
      </c>
      <c r="I1016" s="6">
        <v>417</v>
      </c>
    </row>
    <row r="1017" spans="1:9" x14ac:dyDescent="0.25">
      <c r="A1017" t="s">
        <v>28</v>
      </c>
      <c r="B1017" t="s">
        <v>15</v>
      </c>
      <c r="C1017" t="s">
        <v>16</v>
      </c>
      <c r="D1017" s="1">
        <v>44603</v>
      </c>
      <c r="E1017" s="1" t="str">
        <f>TEXT(Sales[[#This Row],[Date]],"mmm")</f>
        <v>Feb</v>
      </c>
      <c r="F1017" s="1" t="str">
        <f t="shared" si="30"/>
        <v>2022</v>
      </c>
      <c r="G1017" s="1" t="str">
        <f t="shared" si="31"/>
        <v>Fri</v>
      </c>
      <c r="H1017" s="7">
        <v>4158</v>
      </c>
      <c r="I1017" s="6">
        <v>109</v>
      </c>
    </row>
    <row r="1018" spans="1:9" x14ac:dyDescent="0.25">
      <c r="A1018" t="s">
        <v>41</v>
      </c>
      <c r="B1018" t="s">
        <v>29</v>
      </c>
      <c r="C1018" t="s">
        <v>35</v>
      </c>
      <c r="D1018" s="1">
        <v>44649</v>
      </c>
      <c r="E1018" s="1" t="str">
        <f>TEXT(Sales[[#This Row],[Date]],"mmm")</f>
        <v>Mar</v>
      </c>
      <c r="F1018" s="1" t="str">
        <f t="shared" si="30"/>
        <v>2022</v>
      </c>
      <c r="G1018" s="1" t="str">
        <f t="shared" si="31"/>
        <v>Tue</v>
      </c>
      <c r="H1018" s="7">
        <v>5684</v>
      </c>
      <c r="I1018" s="6">
        <v>81</v>
      </c>
    </row>
    <row r="1019" spans="1:9" x14ac:dyDescent="0.25">
      <c r="A1019" t="s">
        <v>33</v>
      </c>
      <c r="B1019" t="s">
        <v>26</v>
      </c>
      <c r="C1019" t="s">
        <v>13</v>
      </c>
      <c r="D1019" s="1">
        <v>44727</v>
      </c>
      <c r="E1019" s="1" t="str">
        <f>TEXT(Sales[[#This Row],[Date]],"mmm")</f>
        <v>Jun</v>
      </c>
      <c r="F1019" s="1" t="str">
        <f t="shared" si="30"/>
        <v>2022</v>
      </c>
      <c r="G1019" s="1" t="str">
        <f t="shared" si="31"/>
        <v>Wed</v>
      </c>
      <c r="H1019" s="7">
        <v>693</v>
      </c>
      <c r="I1019" s="6">
        <v>350</v>
      </c>
    </row>
    <row r="1020" spans="1:9" x14ac:dyDescent="0.25">
      <c r="A1020" t="s">
        <v>43</v>
      </c>
      <c r="B1020" t="s">
        <v>7</v>
      </c>
      <c r="C1020" t="s">
        <v>16</v>
      </c>
      <c r="D1020" s="1">
        <v>44677</v>
      </c>
      <c r="E1020" s="1" t="str">
        <f>TEXT(Sales[[#This Row],[Date]],"mmm")</f>
        <v>Apr</v>
      </c>
      <c r="F1020" s="1" t="str">
        <f t="shared" si="30"/>
        <v>2022</v>
      </c>
      <c r="G1020" s="1" t="str">
        <f t="shared" si="31"/>
        <v>Tue</v>
      </c>
      <c r="H1020" s="7">
        <v>546</v>
      </c>
      <c r="I1020" s="6">
        <v>142</v>
      </c>
    </row>
    <row r="1021" spans="1:9" x14ac:dyDescent="0.25">
      <c r="A1021" t="s">
        <v>23</v>
      </c>
      <c r="B1021" t="s">
        <v>15</v>
      </c>
      <c r="C1021" t="s">
        <v>35</v>
      </c>
      <c r="D1021" s="1">
        <v>44757</v>
      </c>
      <c r="E1021" s="1" t="str">
        <f>TEXT(Sales[[#This Row],[Date]],"mmm")</f>
        <v>Jul</v>
      </c>
      <c r="F1021" s="1" t="str">
        <f t="shared" si="30"/>
        <v>2022</v>
      </c>
      <c r="G1021" s="1" t="str">
        <f t="shared" si="31"/>
        <v>Fri</v>
      </c>
      <c r="H1021" s="7">
        <v>4263</v>
      </c>
      <c r="I1021" s="6">
        <v>264</v>
      </c>
    </row>
    <row r="1022" spans="1:9" x14ac:dyDescent="0.25">
      <c r="A1022" t="s">
        <v>34</v>
      </c>
      <c r="B1022" t="s">
        <v>10</v>
      </c>
      <c r="C1022" t="s">
        <v>35</v>
      </c>
      <c r="D1022" s="1">
        <v>44735</v>
      </c>
      <c r="E1022" s="1" t="str">
        <f>TEXT(Sales[[#This Row],[Date]],"mmm")</f>
        <v>Jun</v>
      </c>
      <c r="F1022" s="1" t="str">
        <f t="shared" si="30"/>
        <v>2022</v>
      </c>
      <c r="G1022" s="1" t="str">
        <f t="shared" si="31"/>
        <v>Thu</v>
      </c>
      <c r="H1022" s="7">
        <v>1036</v>
      </c>
      <c r="I1022" s="6">
        <v>20</v>
      </c>
    </row>
    <row r="1023" spans="1:9" x14ac:dyDescent="0.25">
      <c r="A1023" t="s">
        <v>43</v>
      </c>
      <c r="B1023" t="s">
        <v>15</v>
      </c>
      <c r="C1023" t="s">
        <v>56</v>
      </c>
      <c r="D1023" s="1">
        <v>44572</v>
      </c>
      <c r="E1023" s="1" t="str">
        <f>TEXT(Sales[[#This Row],[Date]],"mmm")</f>
        <v>Jan</v>
      </c>
      <c r="F1023" s="1" t="str">
        <f t="shared" si="30"/>
        <v>2022</v>
      </c>
      <c r="G1023" s="1" t="str">
        <f t="shared" si="31"/>
        <v>Tue</v>
      </c>
      <c r="H1023" s="7">
        <v>13846</v>
      </c>
      <c r="I1023" s="6">
        <v>421</v>
      </c>
    </row>
    <row r="1024" spans="1:9" x14ac:dyDescent="0.25">
      <c r="A1024" t="s">
        <v>34</v>
      </c>
      <c r="B1024" t="s">
        <v>7</v>
      </c>
      <c r="C1024" t="s">
        <v>22</v>
      </c>
      <c r="D1024" s="1">
        <v>44601</v>
      </c>
      <c r="E1024" s="1" t="str">
        <f>TEXT(Sales[[#This Row],[Date]],"mmm")</f>
        <v>Feb</v>
      </c>
      <c r="F1024" s="1" t="str">
        <f t="shared" si="30"/>
        <v>2022</v>
      </c>
      <c r="G1024" s="1" t="str">
        <f t="shared" si="31"/>
        <v>Wed</v>
      </c>
      <c r="H1024" s="7">
        <v>2499</v>
      </c>
      <c r="I1024" s="6">
        <v>271</v>
      </c>
    </row>
    <row r="1025" spans="1:9" x14ac:dyDescent="0.25">
      <c r="A1025" t="s">
        <v>9</v>
      </c>
      <c r="B1025" t="s">
        <v>7</v>
      </c>
      <c r="C1025" t="s">
        <v>47</v>
      </c>
      <c r="D1025" s="1">
        <v>44718</v>
      </c>
      <c r="E1025" s="1" t="str">
        <f>TEXT(Sales[[#This Row],[Date]],"mmm")</f>
        <v>Jun</v>
      </c>
      <c r="F1025" s="1" t="str">
        <f t="shared" si="30"/>
        <v>2022</v>
      </c>
      <c r="G1025" s="1" t="str">
        <f t="shared" si="31"/>
        <v>Mon</v>
      </c>
      <c r="H1025" s="7">
        <v>10689</v>
      </c>
      <c r="I1025" s="6">
        <v>204</v>
      </c>
    </row>
    <row r="1026" spans="1:9" x14ac:dyDescent="0.25">
      <c r="A1026" t="s">
        <v>54</v>
      </c>
      <c r="B1026" t="s">
        <v>7</v>
      </c>
      <c r="C1026" t="s">
        <v>57</v>
      </c>
      <c r="D1026" s="1">
        <v>44783</v>
      </c>
      <c r="E1026" s="1" t="str">
        <f>TEXT(Sales[[#This Row],[Date]],"mmm")</f>
        <v>Aug</v>
      </c>
      <c r="F1026" s="1" t="str">
        <f t="shared" ref="F1026:F1089" si="32">TEXT(D:D,"yyyy")</f>
        <v>2022</v>
      </c>
      <c r="G1026" s="1" t="str">
        <f t="shared" ref="G1026:G1089" si="33">TEXT(D:D,"ddd")</f>
        <v>Wed</v>
      </c>
      <c r="H1026" s="7">
        <v>5768</v>
      </c>
      <c r="I1026" s="6">
        <v>235</v>
      </c>
    </row>
    <row r="1027" spans="1:9" x14ac:dyDescent="0.25">
      <c r="A1027" t="s">
        <v>46</v>
      </c>
      <c r="B1027" t="s">
        <v>15</v>
      </c>
      <c r="C1027" t="s">
        <v>16</v>
      </c>
      <c r="D1027" s="1">
        <v>44565</v>
      </c>
      <c r="E1027" s="1" t="str">
        <f>TEXT(Sales[[#This Row],[Date]],"mmm")</f>
        <v>Jan</v>
      </c>
      <c r="F1027" s="1" t="str">
        <f t="shared" si="32"/>
        <v>2022</v>
      </c>
      <c r="G1027" s="1" t="str">
        <f t="shared" si="33"/>
        <v>Tue</v>
      </c>
      <c r="H1027" s="7">
        <v>2226</v>
      </c>
      <c r="I1027" s="6">
        <v>46</v>
      </c>
    </row>
    <row r="1028" spans="1:9" x14ac:dyDescent="0.25">
      <c r="A1028" t="s">
        <v>48</v>
      </c>
      <c r="B1028" t="s">
        <v>29</v>
      </c>
      <c r="C1028" t="s">
        <v>58</v>
      </c>
      <c r="D1028" s="1">
        <v>44659</v>
      </c>
      <c r="E1028" s="1" t="str">
        <f>TEXT(Sales[[#This Row],[Date]],"mmm")</f>
        <v>Apr</v>
      </c>
      <c r="F1028" s="1" t="str">
        <f t="shared" si="32"/>
        <v>2022</v>
      </c>
      <c r="G1028" s="1" t="str">
        <f t="shared" si="33"/>
        <v>Fri</v>
      </c>
      <c r="H1028" s="7">
        <v>10262</v>
      </c>
      <c r="I1028" s="6">
        <v>15</v>
      </c>
    </row>
    <row r="1029" spans="1:9" x14ac:dyDescent="0.25">
      <c r="A1029" t="s">
        <v>25</v>
      </c>
      <c r="B1029" t="s">
        <v>7</v>
      </c>
      <c r="C1029" t="s">
        <v>37</v>
      </c>
      <c r="D1029" s="1">
        <v>44622</v>
      </c>
      <c r="E1029" s="1" t="str">
        <f>TEXT(Sales[[#This Row],[Date]],"mmm")</f>
        <v>Mar</v>
      </c>
      <c r="F1029" s="1" t="str">
        <f t="shared" si="32"/>
        <v>2022</v>
      </c>
      <c r="G1029" s="1" t="str">
        <f t="shared" si="33"/>
        <v>Wed</v>
      </c>
      <c r="H1029" s="7">
        <v>3864</v>
      </c>
      <c r="I1029" s="6">
        <v>430</v>
      </c>
    </row>
    <row r="1030" spans="1:9" x14ac:dyDescent="0.25">
      <c r="A1030" t="s">
        <v>9</v>
      </c>
      <c r="B1030" t="s">
        <v>29</v>
      </c>
      <c r="C1030" t="s">
        <v>32</v>
      </c>
      <c r="D1030" s="1">
        <v>44727</v>
      </c>
      <c r="E1030" s="1" t="str">
        <f>TEXT(Sales[[#This Row],[Date]],"mmm")</f>
        <v>Jun</v>
      </c>
      <c r="F1030" s="1" t="str">
        <f t="shared" si="32"/>
        <v>2022</v>
      </c>
      <c r="G1030" s="1" t="str">
        <f t="shared" si="33"/>
        <v>Wed</v>
      </c>
      <c r="H1030" s="7">
        <v>4900</v>
      </c>
      <c r="I1030" s="6">
        <v>709</v>
      </c>
    </row>
    <row r="1031" spans="1:9" x14ac:dyDescent="0.25">
      <c r="A1031" t="s">
        <v>6</v>
      </c>
      <c r="B1031" t="s">
        <v>15</v>
      </c>
      <c r="C1031" t="s">
        <v>20</v>
      </c>
      <c r="D1031" s="1">
        <v>44606</v>
      </c>
      <c r="E1031" s="1" t="str">
        <f>TEXT(Sales[[#This Row],[Date]],"mmm")</f>
        <v>Feb</v>
      </c>
      <c r="F1031" s="1" t="str">
        <f t="shared" si="32"/>
        <v>2022</v>
      </c>
      <c r="G1031" s="1" t="str">
        <f t="shared" si="33"/>
        <v>Mon</v>
      </c>
      <c r="H1031" s="7">
        <v>5250</v>
      </c>
      <c r="I1031" s="6">
        <v>47</v>
      </c>
    </row>
    <row r="1032" spans="1:9" x14ac:dyDescent="0.25">
      <c r="A1032" t="s">
        <v>40</v>
      </c>
      <c r="B1032" t="s">
        <v>7</v>
      </c>
      <c r="C1032" t="s">
        <v>20</v>
      </c>
      <c r="D1032" s="1">
        <v>44747</v>
      </c>
      <c r="E1032" s="1" t="str">
        <f>TEXT(Sales[[#This Row],[Date]],"mmm")</f>
        <v>Jul</v>
      </c>
      <c r="F1032" s="1" t="str">
        <f t="shared" si="32"/>
        <v>2022</v>
      </c>
      <c r="G1032" s="1" t="str">
        <f t="shared" si="33"/>
        <v>Tue</v>
      </c>
      <c r="H1032" s="7">
        <v>3507</v>
      </c>
      <c r="I1032" s="6">
        <v>380</v>
      </c>
    </row>
    <row r="1033" spans="1:9" x14ac:dyDescent="0.25">
      <c r="A1033" t="s">
        <v>25</v>
      </c>
      <c r="B1033" t="s">
        <v>10</v>
      </c>
      <c r="C1033" t="s">
        <v>8</v>
      </c>
      <c r="D1033" s="1">
        <v>44573</v>
      </c>
      <c r="E1033" s="1" t="str">
        <f>TEXT(Sales[[#This Row],[Date]],"mmm")</f>
        <v>Jan</v>
      </c>
      <c r="F1033" s="1" t="str">
        <f t="shared" si="32"/>
        <v>2022</v>
      </c>
      <c r="G1033" s="1" t="str">
        <f t="shared" si="33"/>
        <v>Wed</v>
      </c>
      <c r="H1033" s="7">
        <v>7413</v>
      </c>
      <c r="I1033" s="6">
        <v>465</v>
      </c>
    </row>
    <row r="1034" spans="1:9" x14ac:dyDescent="0.25">
      <c r="A1034" t="s">
        <v>38</v>
      </c>
      <c r="B1034" t="s">
        <v>10</v>
      </c>
      <c r="C1034" t="s">
        <v>8</v>
      </c>
      <c r="D1034" s="1">
        <v>44623</v>
      </c>
      <c r="E1034" s="1" t="str">
        <f>TEXT(Sales[[#This Row],[Date]],"mmm")</f>
        <v>Mar</v>
      </c>
      <c r="F1034" s="1" t="str">
        <f t="shared" si="32"/>
        <v>2022</v>
      </c>
      <c r="G1034" s="1" t="str">
        <f t="shared" si="33"/>
        <v>Thu</v>
      </c>
      <c r="H1034" s="7">
        <v>8155</v>
      </c>
      <c r="I1034" s="6">
        <v>96</v>
      </c>
    </row>
    <row r="1035" spans="1:9" x14ac:dyDescent="0.25">
      <c r="A1035" t="s">
        <v>6</v>
      </c>
      <c r="B1035" t="s">
        <v>21</v>
      </c>
      <c r="C1035" t="s">
        <v>37</v>
      </c>
      <c r="D1035" s="1">
        <v>44699</v>
      </c>
      <c r="E1035" s="1" t="str">
        <f>TEXT(Sales[[#This Row],[Date]],"mmm")</f>
        <v>May</v>
      </c>
      <c r="F1035" s="1" t="str">
        <f t="shared" si="32"/>
        <v>2022</v>
      </c>
      <c r="G1035" s="1" t="str">
        <f t="shared" si="33"/>
        <v>Wed</v>
      </c>
      <c r="H1035" s="7">
        <v>2478</v>
      </c>
      <c r="I1035" s="6">
        <v>188</v>
      </c>
    </row>
    <row r="1036" spans="1:9" x14ac:dyDescent="0.25">
      <c r="A1036" t="s">
        <v>19</v>
      </c>
      <c r="B1036" t="s">
        <v>10</v>
      </c>
      <c r="C1036" t="s">
        <v>57</v>
      </c>
      <c r="D1036" s="1">
        <v>44770</v>
      </c>
      <c r="E1036" s="1" t="str">
        <f>TEXT(Sales[[#This Row],[Date]],"mmm")</f>
        <v>Jul</v>
      </c>
      <c r="F1036" s="1" t="str">
        <f t="shared" si="32"/>
        <v>2022</v>
      </c>
      <c r="G1036" s="1" t="str">
        <f t="shared" si="33"/>
        <v>Thu</v>
      </c>
      <c r="H1036" s="7">
        <v>2471</v>
      </c>
      <c r="I1036" s="6">
        <v>202</v>
      </c>
    </row>
    <row r="1037" spans="1:9" x14ac:dyDescent="0.25">
      <c r="A1037" t="s">
        <v>38</v>
      </c>
      <c r="B1037" t="s">
        <v>7</v>
      </c>
      <c r="C1037" t="s">
        <v>45</v>
      </c>
      <c r="D1037" s="1">
        <v>44599</v>
      </c>
      <c r="E1037" s="1" t="str">
        <f>TEXT(Sales[[#This Row],[Date]],"mmm")</f>
        <v>Feb</v>
      </c>
      <c r="F1037" s="1" t="str">
        <f t="shared" si="32"/>
        <v>2022</v>
      </c>
      <c r="G1037" s="1" t="str">
        <f t="shared" si="33"/>
        <v>Mon</v>
      </c>
      <c r="H1037" s="7">
        <v>1666</v>
      </c>
      <c r="I1037" s="6">
        <v>106</v>
      </c>
    </row>
    <row r="1038" spans="1:9" x14ac:dyDescent="0.25">
      <c r="A1038" t="s">
        <v>48</v>
      </c>
      <c r="B1038" t="s">
        <v>10</v>
      </c>
      <c r="C1038" t="s">
        <v>27</v>
      </c>
      <c r="D1038" s="1">
        <v>44711</v>
      </c>
      <c r="E1038" s="1" t="str">
        <f>TEXT(Sales[[#This Row],[Date]],"mmm")</f>
        <v>May</v>
      </c>
      <c r="F1038" s="1" t="str">
        <f t="shared" si="32"/>
        <v>2022</v>
      </c>
      <c r="G1038" s="1" t="str">
        <f t="shared" si="33"/>
        <v>Mon</v>
      </c>
      <c r="H1038" s="7">
        <v>301</v>
      </c>
      <c r="I1038" s="6">
        <v>421</v>
      </c>
    </row>
    <row r="1039" spans="1:9" x14ac:dyDescent="0.25">
      <c r="A1039" t="s">
        <v>28</v>
      </c>
      <c r="B1039" t="s">
        <v>15</v>
      </c>
      <c r="C1039" t="s">
        <v>51</v>
      </c>
      <c r="D1039" s="1">
        <v>44676</v>
      </c>
      <c r="E1039" s="1" t="str">
        <f>TEXT(Sales[[#This Row],[Date]],"mmm")</f>
        <v>Apr</v>
      </c>
      <c r="F1039" s="1" t="str">
        <f t="shared" si="32"/>
        <v>2022</v>
      </c>
      <c r="G1039" s="1" t="str">
        <f t="shared" si="33"/>
        <v>Mon</v>
      </c>
      <c r="H1039" s="7">
        <v>8400</v>
      </c>
      <c r="I1039" s="6">
        <v>27</v>
      </c>
    </row>
    <row r="1040" spans="1:9" x14ac:dyDescent="0.25">
      <c r="A1040" t="s">
        <v>34</v>
      </c>
      <c r="B1040" t="s">
        <v>29</v>
      </c>
      <c r="C1040" t="s">
        <v>11</v>
      </c>
      <c r="D1040" s="1">
        <v>44608</v>
      </c>
      <c r="E1040" s="1" t="str">
        <f>TEXT(Sales[[#This Row],[Date]],"mmm")</f>
        <v>Feb</v>
      </c>
      <c r="F1040" s="1" t="str">
        <f t="shared" si="32"/>
        <v>2022</v>
      </c>
      <c r="G1040" s="1" t="str">
        <f t="shared" si="33"/>
        <v>Wed</v>
      </c>
      <c r="H1040" s="7">
        <v>6139</v>
      </c>
      <c r="I1040" s="6">
        <v>45</v>
      </c>
    </row>
    <row r="1041" spans="1:9" x14ac:dyDescent="0.25">
      <c r="A1041" t="s">
        <v>49</v>
      </c>
      <c r="B1041" t="s">
        <v>15</v>
      </c>
      <c r="C1041" t="s">
        <v>32</v>
      </c>
      <c r="D1041" s="1">
        <v>44685</v>
      </c>
      <c r="E1041" s="1" t="str">
        <f>TEXT(Sales[[#This Row],[Date]],"mmm")</f>
        <v>May</v>
      </c>
      <c r="F1041" s="1" t="str">
        <f t="shared" si="32"/>
        <v>2022</v>
      </c>
      <c r="G1041" s="1" t="str">
        <f t="shared" si="33"/>
        <v>Wed</v>
      </c>
      <c r="H1041" s="7">
        <v>1288</v>
      </c>
      <c r="I1041" s="6">
        <v>60</v>
      </c>
    </row>
    <row r="1042" spans="1:9" x14ac:dyDescent="0.25">
      <c r="A1042" t="s">
        <v>9</v>
      </c>
      <c r="B1042" t="s">
        <v>29</v>
      </c>
      <c r="C1042" t="s">
        <v>58</v>
      </c>
      <c r="D1042" s="1">
        <v>44714</v>
      </c>
      <c r="E1042" s="1" t="str">
        <f>TEXT(Sales[[#This Row],[Date]],"mmm")</f>
        <v>Jun</v>
      </c>
      <c r="F1042" s="1" t="str">
        <f t="shared" si="32"/>
        <v>2022</v>
      </c>
      <c r="G1042" s="1" t="str">
        <f t="shared" si="33"/>
        <v>Thu</v>
      </c>
      <c r="H1042" s="7">
        <v>7077</v>
      </c>
      <c r="I1042" s="6">
        <v>77</v>
      </c>
    </row>
    <row r="1043" spans="1:9" x14ac:dyDescent="0.25">
      <c r="A1043" t="s">
        <v>43</v>
      </c>
      <c r="B1043" t="s">
        <v>26</v>
      </c>
      <c r="C1043" t="s">
        <v>57</v>
      </c>
      <c r="D1043" s="1">
        <v>44753</v>
      </c>
      <c r="E1043" s="1" t="str">
        <f>TEXT(Sales[[#This Row],[Date]],"mmm")</f>
        <v>Jul</v>
      </c>
      <c r="F1043" s="1" t="str">
        <f t="shared" si="32"/>
        <v>2022</v>
      </c>
      <c r="G1043" s="1" t="str">
        <f t="shared" si="33"/>
        <v>Mon</v>
      </c>
      <c r="H1043" s="7">
        <v>2317</v>
      </c>
      <c r="I1043" s="6">
        <v>464</v>
      </c>
    </row>
    <row r="1044" spans="1:9" x14ac:dyDescent="0.25">
      <c r="A1044" t="s">
        <v>34</v>
      </c>
      <c r="B1044" t="s">
        <v>21</v>
      </c>
      <c r="C1044" t="s">
        <v>39</v>
      </c>
      <c r="D1044" s="1">
        <v>44719</v>
      </c>
      <c r="E1044" s="1" t="str">
        <f>TEXT(Sales[[#This Row],[Date]],"mmm")</f>
        <v>Jun</v>
      </c>
      <c r="F1044" s="1" t="str">
        <f t="shared" si="32"/>
        <v>2022</v>
      </c>
      <c r="G1044" s="1" t="str">
        <f t="shared" si="33"/>
        <v>Tue</v>
      </c>
      <c r="H1044" s="7">
        <v>63</v>
      </c>
      <c r="I1044" s="6">
        <v>60</v>
      </c>
    </row>
    <row r="1045" spans="1:9" x14ac:dyDescent="0.25">
      <c r="A1045" t="s">
        <v>14</v>
      </c>
      <c r="B1045" t="s">
        <v>7</v>
      </c>
      <c r="C1045" t="s">
        <v>47</v>
      </c>
      <c r="D1045" s="1">
        <v>44748</v>
      </c>
      <c r="E1045" s="1" t="str">
        <f>TEXT(Sales[[#This Row],[Date]],"mmm")</f>
        <v>Jul</v>
      </c>
      <c r="F1045" s="1" t="str">
        <f t="shared" si="32"/>
        <v>2022</v>
      </c>
      <c r="G1045" s="1" t="str">
        <f t="shared" si="33"/>
        <v>Wed</v>
      </c>
      <c r="H1045" s="7">
        <v>9744</v>
      </c>
      <c r="I1045" s="6">
        <v>157</v>
      </c>
    </row>
    <row r="1046" spans="1:9" x14ac:dyDescent="0.25">
      <c r="A1046" t="s">
        <v>40</v>
      </c>
      <c r="B1046" t="s">
        <v>10</v>
      </c>
      <c r="C1046" t="s">
        <v>51</v>
      </c>
      <c r="D1046" s="1">
        <v>44727</v>
      </c>
      <c r="E1046" s="1" t="str">
        <f>TEXT(Sales[[#This Row],[Date]],"mmm")</f>
        <v>Jun</v>
      </c>
      <c r="F1046" s="1" t="str">
        <f t="shared" si="32"/>
        <v>2022</v>
      </c>
      <c r="G1046" s="1" t="str">
        <f t="shared" si="33"/>
        <v>Wed</v>
      </c>
      <c r="H1046" s="7">
        <v>9954</v>
      </c>
      <c r="I1046" s="6">
        <v>154</v>
      </c>
    </row>
    <row r="1047" spans="1:9" x14ac:dyDescent="0.25">
      <c r="A1047" t="s">
        <v>54</v>
      </c>
      <c r="B1047" t="s">
        <v>10</v>
      </c>
      <c r="C1047" t="s">
        <v>8</v>
      </c>
      <c r="D1047" s="1">
        <v>44665</v>
      </c>
      <c r="E1047" s="1" t="str">
        <f>TEXT(Sales[[#This Row],[Date]],"mmm")</f>
        <v>Apr</v>
      </c>
      <c r="F1047" s="1" t="str">
        <f t="shared" si="32"/>
        <v>2022</v>
      </c>
      <c r="G1047" s="1" t="str">
        <f t="shared" si="33"/>
        <v>Thu</v>
      </c>
      <c r="H1047" s="7">
        <v>1260</v>
      </c>
      <c r="I1047" s="6">
        <v>239</v>
      </c>
    </row>
    <row r="1048" spans="1:9" x14ac:dyDescent="0.25">
      <c r="A1048" t="s">
        <v>50</v>
      </c>
      <c r="B1048" t="s">
        <v>10</v>
      </c>
      <c r="C1048" t="s">
        <v>32</v>
      </c>
      <c r="D1048" s="1">
        <v>44781</v>
      </c>
      <c r="E1048" s="1" t="str">
        <f>TEXT(Sales[[#This Row],[Date]],"mmm")</f>
        <v>Aug</v>
      </c>
      <c r="F1048" s="1" t="str">
        <f t="shared" si="32"/>
        <v>2022</v>
      </c>
      <c r="G1048" s="1" t="str">
        <f t="shared" si="33"/>
        <v>Mon</v>
      </c>
      <c r="H1048" s="7">
        <v>469</v>
      </c>
      <c r="I1048" s="6">
        <v>163</v>
      </c>
    </row>
    <row r="1049" spans="1:9" x14ac:dyDescent="0.25">
      <c r="A1049" t="s">
        <v>33</v>
      </c>
      <c r="B1049" t="s">
        <v>7</v>
      </c>
      <c r="C1049" t="s">
        <v>32</v>
      </c>
      <c r="D1049" s="1">
        <v>44649</v>
      </c>
      <c r="E1049" s="1" t="str">
        <f>TEXT(Sales[[#This Row],[Date]],"mmm")</f>
        <v>Mar</v>
      </c>
      <c r="F1049" s="1" t="str">
        <f t="shared" si="32"/>
        <v>2022</v>
      </c>
      <c r="G1049" s="1" t="str">
        <f t="shared" si="33"/>
        <v>Tue</v>
      </c>
      <c r="H1049" s="7">
        <v>973</v>
      </c>
      <c r="I1049" s="6">
        <v>28</v>
      </c>
    </row>
    <row r="1050" spans="1:9" x14ac:dyDescent="0.25">
      <c r="A1050" t="s">
        <v>36</v>
      </c>
      <c r="B1050" t="s">
        <v>15</v>
      </c>
      <c r="C1050" t="s">
        <v>35</v>
      </c>
      <c r="D1050" s="1">
        <v>44746</v>
      </c>
      <c r="E1050" s="1" t="str">
        <f>TEXT(Sales[[#This Row],[Date]],"mmm")</f>
        <v>Jul</v>
      </c>
      <c r="F1050" s="1" t="str">
        <f t="shared" si="32"/>
        <v>2022</v>
      </c>
      <c r="G1050" s="1" t="str">
        <f t="shared" si="33"/>
        <v>Mon</v>
      </c>
      <c r="H1050" s="7">
        <v>3647</v>
      </c>
      <c r="I1050" s="6">
        <v>76</v>
      </c>
    </row>
    <row r="1051" spans="1:9" x14ac:dyDescent="0.25">
      <c r="A1051" t="s">
        <v>55</v>
      </c>
      <c r="B1051" t="s">
        <v>10</v>
      </c>
      <c r="C1051" t="s">
        <v>18</v>
      </c>
      <c r="D1051" s="1">
        <v>44608</v>
      </c>
      <c r="E1051" s="1" t="str">
        <f>TEXT(Sales[[#This Row],[Date]],"mmm")</f>
        <v>Feb</v>
      </c>
      <c r="F1051" s="1" t="str">
        <f t="shared" si="32"/>
        <v>2022</v>
      </c>
      <c r="G1051" s="1" t="str">
        <f t="shared" si="33"/>
        <v>Wed</v>
      </c>
      <c r="H1051" s="7">
        <v>455</v>
      </c>
      <c r="I1051" s="6">
        <v>96</v>
      </c>
    </row>
    <row r="1052" spans="1:9" x14ac:dyDescent="0.25">
      <c r="A1052" t="s">
        <v>24</v>
      </c>
      <c r="B1052" t="s">
        <v>29</v>
      </c>
      <c r="C1052" t="s">
        <v>39</v>
      </c>
      <c r="D1052" s="1">
        <v>44683</v>
      </c>
      <c r="E1052" s="1" t="str">
        <f>TEXT(Sales[[#This Row],[Date]],"mmm")</f>
        <v>May</v>
      </c>
      <c r="F1052" s="1" t="str">
        <f t="shared" si="32"/>
        <v>2022</v>
      </c>
      <c r="G1052" s="1" t="str">
        <f t="shared" si="33"/>
        <v>Mon</v>
      </c>
      <c r="H1052" s="7">
        <v>2520</v>
      </c>
      <c r="I1052" s="6">
        <v>156</v>
      </c>
    </row>
    <row r="1053" spans="1:9" x14ac:dyDescent="0.25">
      <c r="A1053" t="s">
        <v>9</v>
      </c>
      <c r="B1053" t="s">
        <v>10</v>
      </c>
      <c r="C1053" t="s">
        <v>30</v>
      </c>
      <c r="D1053" s="1">
        <v>44763</v>
      </c>
      <c r="E1053" s="1" t="str">
        <f>TEXT(Sales[[#This Row],[Date]],"mmm")</f>
        <v>Jul</v>
      </c>
      <c r="F1053" s="1" t="str">
        <f t="shared" si="32"/>
        <v>2022</v>
      </c>
      <c r="G1053" s="1" t="str">
        <f t="shared" si="33"/>
        <v>Thu</v>
      </c>
      <c r="H1053" s="7">
        <v>10500</v>
      </c>
      <c r="I1053" s="6">
        <v>106</v>
      </c>
    </row>
    <row r="1054" spans="1:9" x14ac:dyDescent="0.25">
      <c r="A1054" t="s">
        <v>19</v>
      </c>
      <c r="B1054" t="s">
        <v>15</v>
      </c>
      <c r="C1054" t="s">
        <v>18</v>
      </c>
      <c r="D1054" s="1">
        <v>44791</v>
      </c>
      <c r="E1054" s="1" t="str">
        <f>TEXT(Sales[[#This Row],[Date]],"mmm")</f>
        <v>Aug</v>
      </c>
      <c r="F1054" s="1" t="str">
        <f t="shared" si="32"/>
        <v>2022</v>
      </c>
      <c r="G1054" s="1" t="str">
        <f t="shared" si="33"/>
        <v>Thu</v>
      </c>
      <c r="H1054" s="7">
        <v>7952</v>
      </c>
      <c r="I1054" s="6">
        <v>235</v>
      </c>
    </row>
    <row r="1055" spans="1:9" x14ac:dyDescent="0.25">
      <c r="A1055" t="s">
        <v>41</v>
      </c>
      <c r="B1055" t="s">
        <v>26</v>
      </c>
      <c r="C1055" t="s">
        <v>11</v>
      </c>
      <c r="D1055" s="1">
        <v>44734</v>
      </c>
      <c r="E1055" s="1" t="str">
        <f>TEXT(Sales[[#This Row],[Date]],"mmm")</f>
        <v>Jun</v>
      </c>
      <c r="F1055" s="1" t="str">
        <f t="shared" si="32"/>
        <v>2022</v>
      </c>
      <c r="G1055" s="1" t="str">
        <f t="shared" si="33"/>
        <v>Wed</v>
      </c>
      <c r="H1055" s="7">
        <v>483</v>
      </c>
      <c r="I1055" s="6">
        <v>259</v>
      </c>
    </row>
    <row r="1056" spans="1:9" x14ac:dyDescent="0.25">
      <c r="A1056" t="s">
        <v>50</v>
      </c>
      <c r="B1056" t="s">
        <v>7</v>
      </c>
      <c r="C1056" t="s">
        <v>13</v>
      </c>
      <c r="D1056" s="1">
        <v>44761</v>
      </c>
      <c r="E1056" s="1" t="str">
        <f>TEXT(Sales[[#This Row],[Date]],"mmm")</f>
        <v>Jul</v>
      </c>
      <c r="F1056" s="1" t="str">
        <f t="shared" si="32"/>
        <v>2022</v>
      </c>
      <c r="G1056" s="1" t="str">
        <f t="shared" si="33"/>
        <v>Tue</v>
      </c>
      <c r="H1056" s="7">
        <v>4872</v>
      </c>
      <c r="I1056" s="6">
        <v>126</v>
      </c>
    </row>
    <row r="1057" spans="1:9" x14ac:dyDescent="0.25">
      <c r="A1057" t="s">
        <v>53</v>
      </c>
      <c r="B1057" t="s">
        <v>7</v>
      </c>
      <c r="C1057" t="s">
        <v>13</v>
      </c>
      <c r="D1057" s="1">
        <v>44785</v>
      </c>
      <c r="E1057" s="1" t="str">
        <f>TEXT(Sales[[#This Row],[Date]],"mmm")</f>
        <v>Aug</v>
      </c>
      <c r="F1057" s="1" t="str">
        <f t="shared" si="32"/>
        <v>2022</v>
      </c>
      <c r="G1057" s="1" t="str">
        <f t="shared" si="33"/>
        <v>Fri</v>
      </c>
      <c r="H1057" s="7">
        <v>7756</v>
      </c>
      <c r="I1057" s="6">
        <v>85</v>
      </c>
    </row>
    <row r="1058" spans="1:9" x14ac:dyDescent="0.25">
      <c r="A1058" t="s">
        <v>53</v>
      </c>
      <c r="B1058" t="s">
        <v>26</v>
      </c>
      <c r="C1058" t="s">
        <v>52</v>
      </c>
      <c r="D1058" s="1">
        <v>44719</v>
      </c>
      <c r="E1058" s="1" t="str">
        <f>TEXT(Sales[[#This Row],[Date]],"mmm")</f>
        <v>Jun</v>
      </c>
      <c r="F1058" s="1" t="str">
        <f t="shared" si="32"/>
        <v>2022</v>
      </c>
      <c r="G1058" s="1" t="str">
        <f t="shared" si="33"/>
        <v>Tue</v>
      </c>
      <c r="H1058" s="7">
        <v>5446</v>
      </c>
      <c r="I1058" s="6">
        <v>132</v>
      </c>
    </row>
    <row r="1059" spans="1:9" x14ac:dyDescent="0.25">
      <c r="A1059" t="s">
        <v>33</v>
      </c>
      <c r="B1059" t="s">
        <v>29</v>
      </c>
      <c r="C1059" t="s">
        <v>13</v>
      </c>
      <c r="D1059" s="1">
        <v>44628</v>
      </c>
      <c r="E1059" s="1" t="str">
        <f>TEXT(Sales[[#This Row],[Date]],"mmm")</f>
        <v>Mar</v>
      </c>
      <c r="F1059" s="1" t="str">
        <f t="shared" si="32"/>
        <v>2022</v>
      </c>
      <c r="G1059" s="1" t="str">
        <f t="shared" si="33"/>
        <v>Tue</v>
      </c>
      <c r="H1059" s="7">
        <v>6594</v>
      </c>
      <c r="I1059" s="6">
        <v>91</v>
      </c>
    </row>
    <row r="1060" spans="1:9" x14ac:dyDescent="0.25">
      <c r="A1060" t="s">
        <v>55</v>
      </c>
      <c r="B1060" t="s">
        <v>15</v>
      </c>
      <c r="C1060" t="s">
        <v>52</v>
      </c>
      <c r="D1060" s="1">
        <v>44659</v>
      </c>
      <c r="E1060" s="1" t="str">
        <f>TEXT(Sales[[#This Row],[Date]],"mmm")</f>
        <v>Apr</v>
      </c>
      <c r="F1060" s="1" t="str">
        <f t="shared" si="32"/>
        <v>2022</v>
      </c>
      <c r="G1060" s="1" t="str">
        <f t="shared" si="33"/>
        <v>Fri</v>
      </c>
      <c r="H1060" s="7">
        <v>1470</v>
      </c>
      <c r="I1060" s="6">
        <v>167</v>
      </c>
    </row>
    <row r="1061" spans="1:9" x14ac:dyDescent="0.25">
      <c r="A1061" t="s">
        <v>38</v>
      </c>
      <c r="B1061" t="s">
        <v>29</v>
      </c>
      <c r="C1061" t="s">
        <v>30</v>
      </c>
      <c r="D1061" s="1">
        <v>44687</v>
      </c>
      <c r="E1061" s="1" t="str">
        <f>TEXT(Sales[[#This Row],[Date]],"mmm")</f>
        <v>May</v>
      </c>
      <c r="F1061" s="1" t="str">
        <f t="shared" si="32"/>
        <v>2022</v>
      </c>
      <c r="G1061" s="1" t="str">
        <f t="shared" si="33"/>
        <v>Fri</v>
      </c>
      <c r="H1061" s="7">
        <v>721</v>
      </c>
      <c r="I1061" s="6">
        <v>203</v>
      </c>
    </row>
    <row r="1062" spans="1:9" x14ac:dyDescent="0.25">
      <c r="A1062" t="s">
        <v>36</v>
      </c>
      <c r="B1062" t="s">
        <v>10</v>
      </c>
      <c r="C1062" t="s">
        <v>32</v>
      </c>
      <c r="D1062" s="1">
        <v>44712</v>
      </c>
      <c r="E1062" s="1" t="str">
        <f>TEXT(Sales[[#This Row],[Date]],"mmm")</f>
        <v>May</v>
      </c>
      <c r="F1062" s="1" t="str">
        <f t="shared" si="32"/>
        <v>2022</v>
      </c>
      <c r="G1062" s="1" t="str">
        <f t="shared" si="33"/>
        <v>Tue</v>
      </c>
      <c r="H1062" s="7">
        <v>4494</v>
      </c>
      <c r="I1062" s="6">
        <v>11</v>
      </c>
    </row>
    <row r="1063" spans="1:9" x14ac:dyDescent="0.25">
      <c r="A1063" t="s">
        <v>9</v>
      </c>
      <c r="B1063" t="s">
        <v>15</v>
      </c>
      <c r="C1063" t="s">
        <v>8</v>
      </c>
      <c r="D1063" s="1">
        <v>44574</v>
      </c>
      <c r="E1063" s="1" t="str">
        <f>TEXT(Sales[[#This Row],[Date]],"mmm")</f>
        <v>Jan</v>
      </c>
      <c r="F1063" s="1" t="str">
        <f t="shared" si="32"/>
        <v>2022</v>
      </c>
      <c r="G1063" s="1" t="str">
        <f t="shared" si="33"/>
        <v>Thu</v>
      </c>
      <c r="H1063" s="7">
        <v>2674</v>
      </c>
      <c r="I1063" s="6">
        <v>295</v>
      </c>
    </row>
    <row r="1064" spans="1:9" x14ac:dyDescent="0.25">
      <c r="A1064" t="s">
        <v>43</v>
      </c>
      <c r="B1064" t="s">
        <v>26</v>
      </c>
      <c r="C1064" t="s">
        <v>58</v>
      </c>
      <c r="D1064" s="1">
        <v>44635</v>
      </c>
      <c r="E1064" s="1" t="str">
        <f>TEXT(Sales[[#This Row],[Date]],"mmm")</f>
        <v>Mar</v>
      </c>
      <c r="F1064" s="1" t="str">
        <f t="shared" si="32"/>
        <v>2022</v>
      </c>
      <c r="G1064" s="1" t="str">
        <f t="shared" si="33"/>
        <v>Tue</v>
      </c>
      <c r="H1064" s="7">
        <v>658</v>
      </c>
      <c r="I1064" s="6">
        <v>77</v>
      </c>
    </row>
    <row r="1065" spans="1:9" x14ac:dyDescent="0.25">
      <c r="A1065" t="s">
        <v>48</v>
      </c>
      <c r="B1065" t="s">
        <v>29</v>
      </c>
      <c r="C1065" t="s">
        <v>13</v>
      </c>
      <c r="D1065" s="1">
        <v>44608</v>
      </c>
      <c r="E1065" s="1" t="str">
        <f>TEXT(Sales[[#This Row],[Date]],"mmm")</f>
        <v>Feb</v>
      </c>
      <c r="F1065" s="1" t="str">
        <f t="shared" si="32"/>
        <v>2022</v>
      </c>
      <c r="G1065" s="1" t="str">
        <f t="shared" si="33"/>
        <v>Wed</v>
      </c>
      <c r="H1065" s="7">
        <v>1127</v>
      </c>
      <c r="I1065" s="6">
        <v>319</v>
      </c>
    </row>
    <row r="1066" spans="1:9" x14ac:dyDescent="0.25">
      <c r="A1066" t="s">
        <v>12</v>
      </c>
      <c r="B1066" t="s">
        <v>26</v>
      </c>
      <c r="C1066" t="s">
        <v>58</v>
      </c>
      <c r="D1066" s="1">
        <v>44575</v>
      </c>
      <c r="E1066" s="1" t="str">
        <f>TEXT(Sales[[#This Row],[Date]],"mmm")</f>
        <v>Jan</v>
      </c>
      <c r="F1066" s="1" t="str">
        <f t="shared" si="32"/>
        <v>2022</v>
      </c>
      <c r="G1066" s="1" t="str">
        <f t="shared" si="33"/>
        <v>Fri</v>
      </c>
      <c r="H1066" s="7">
        <v>7364</v>
      </c>
      <c r="I1066" s="6">
        <v>196</v>
      </c>
    </row>
    <row r="1067" spans="1:9" x14ac:dyDescent="0.25">
      <c r="A1067" t="s">
        <v>24</v>
      </c>
      <c r="B1067" t="s">
        <v>15</v>
      </c>
      <c r="C1067" t="s">
        <v>44</v>
      </c>
      <c r="D1067" s="1">
        <v>44641</v>
      </c>
      <c r="E1067" s="1" t="str">
        <f>TEXT(Sales[[#This Row],[Date]],"mmm")</f>
        <v>Mar</v>
      </c>
      <c r="F1067" s="1" t="str">
        <f t="shared" si="32"/>
        <v>2022</v>
      </c>
      <c r="G1067" s="1" t="str">
        <f t="shared" si="33"/>
        <v>Mon</v>
      </c>
      <c r="H1067" s="7">
        <v>6818</v>
      </c>
      <c r="I1067" s="6">
        <v>102</v>
      </c>
    </row>
    <row r="1068" spans="1:9" x14ac:dyDescent="0.25">
      <c r="A1068" t="s">
        <v>36</v>
      </c>
      <c r="B1068" t="s">
        <v>29</v>
      </c>
      <c r="C1068" t="s">
        <v>32</v>
      </c>
      <c r="D1068" s="1">
        <v>44698</v>
      </c>
      <c r="E1068" s="1" t="str">
        <f>TEXT(Sales[[#This Row],[Date]],"mmm")</f>
        <v>May</v>
      </c>
      <c r="F1068" s="1" t="str">
        <f t="shared" si="32"/>
        <v>2022</v>
      </c>
      <c r="G1068" s="1" t="str">
        <f t="shared" si="33"/>
        <v>Tue</v>
      </c>
      <c r="H1068" s="7">
        <v>6776</v>
      </c>
      <c r="I1068" s="6">
        <v>312</v>
      </c>
    </row>
    <row r="1069" spans="1:9" x14ac:dyDescent="0.25">
      <c r="A1069" t="s">
        <v>50</v>
      </c>
      <c r="B1069" t="s">
        <v>21</v>
      </c>
      <c r="C1069" t="s">
        <v>11</v>
      </c>
      <c r="D1069" s="1">
        <v>44781</v>
      </c>
      <c r="E1069" s="1" t="str">
        <f>TEXT(Sales[[#This Row],[Date]],"mmm")</f>
        <v>Aug</v>
      </c>
      <c r="F1069" s="1" t="str">
        <f t="shared" si="32"/>
        <v>2022</v>
      </c>
      <c r="G1069" s="1" t="str">
        <f t="shared" si="33"/>
        <v>Mon</v>
      </c>
      <c r="H1069" s="7">
        <v>15099</v>
      </c>
      <c r="I1069" s="6">
        <v>55</v>
      </c>
    </row>
    <row r="1070" spans="1:9" x14ac:dyDescent="0.25">
      <c r="A1070" t="s">
        <v>53</v>
      </c>
      <c r="B1070" t="s">
        <v>29</v>
      </c>
      <c r="C1070" t="s">
        <v>37</v>
      </c>
      <c r="D1070" s="1">
        <v>44677</v>
      </c>
      <c r="E1070" s="1" t="str">
        <f>TEXT(Sales[[#This Row],[Date]],"mmm")</f>
        <v>Apr</v>
      </c>
      <c r="F1070" s="1" t="str">
        <f t="shared" si="32"/>
        <v>2022</v>
      </c>
      <c r="G1070" s="1" t="str">
        <f t="shared" si="33"/>
        <v>Tue</v>
      </c>
      <c r="H1070" s="7">
        <v>3612</v>
      </c>
      <c r="I1070" s="6">
        <v>82</v>
      </c>
    </row>
    <row r="1071" spans="1:9" x14ac:dyDescent="0.25">
      <c r="A1071" t="s">
        <v>53</v>
      </c>
      <c r="B1071" t="s">
        <v>15</v>
      </c>
      <c r="C1071" t="s">
        <v>58</v>
      </c>
      <c r="D1071" s="1">
        <v>44666</v>
      </c>
      <c r="E1071" s="1" t="str">
        <f>TEXT(Sales[[#This Row],[Date]],"mmm")</f>
        <v>Apr</v>
      </c>
      <c r="F1071" s="1" t="str">
        <f t="shared" si="32"/>
        <v>2022</v>
      </c>
      <c r="G1071" s="1" t="str">
        <f t="shared" si="33"/>
        <v>Fri</v>
      </c>
      <c r="H1071" s="7">
        <v>3710</v>
      </c>
      <c r="I1071" s="6">
        <v>260</v>
      </c>
    </row>
    <row r="1072" spans="1:9" x14ac:dyDescent="0.25">
      <c r="A1072" t="s">
        <v>17</v>
      </c>
      <c r="B1072" t="s">
        <v>29</v>
      </c>
      <c r="C1072" t="s">
        <v>30</v>
      </c>
      <c r="D1072" s="1">
        <v>44700</v>
      </c>
      <c r="E1072" s="1" t="str">
        <f>TEXT(Sales[[#This Row],[Date]],"mmm")</f>
        <v>May</v>
      </c>
      <c r="F1072" s="1" t="str">
        <f t="shared" si="32"/>
        <v>2022</v>
      </c>
      <c r="G1072" s="1" t="str">
        <f t="shared" si="33"/>
        <v>Thu</v>
      </c>
      <c r="H1072" s="7">
        <v>6111</v>
      </c>
      <c r="I1072" s="6">
        <v>591</v>
      </c>
    </row>
    <row r="1073" spans="1:9" x14ac:dyDescent="0.25">
      <c r="A1073" t="s">
        <v>43</v>
      </c>
      <c r="B1073" t="s">
        <v>29</v>
      </c>
      <c r="C1073" t="s">
        <v>32</v>
      </c>
      <c r="D1073" s="1">
        <v>44571</v>
      </c>
      <c r="E1073" s="1" t="str">
        <f>TEXT(Sales[[#This Row],[Date]],"mmm")</f>
        <v>Jan</v>
      </c>
      <c r="F1073" s="1" t="str">
        <f t="shared" si="32"/>
        <v>2022</v>
      </c>
      <c r="G1073" s="1" t="str">
        <f t="shared" si="33"/>
        <v>Mon</v>
      </c>
      <c r="H1073" s="7">
        <v>2702</v>
      </c>
      <c r="I1073" s="6">
        <v>24</v>
      </c>
    </row>
    <row r="1074" spans="1:9" x14ac:dyDescent="0.25">
      <c r="A1074" t="s">
        <v>28</v>
      </c>
      <c r="B1074" t="s">
        <v>21</v>
      </c>
      <c r="C1074" t="s">
        <v>20</v>
      </c>
      <c r="D1074" s="1">
        <v>44685</v>
      </c>
      <c r="E1074" s="1" t="str">
        <f>TEXT(Sales[[#This Row],[Date]],"mmm")</f>
        <v>May</v>
      </c>
      <c r="F1074" s="1" t="str">
        <f t="shared" si="32"/>
        <v>2022</v>
      </c>
      <c r="G1074" s="1" t="str">
        <f t="shared" si="33"/>
        <v>Wed</v>
      </c>
      <c r="H1074" s="7">
        <v>483</v>
      </c>
      <c r="I1074" s="6">
        <v>228</v>
      </c>
    </row>
    <row r="1075" spans="1:9" x14ac:dyDescent="0.25">
      <c r="A1075" t="s">
        <v>36</v>
      </c>
      <c r="B1075" t="s">
        <v>29</v>
      </c>
      <c r="C1075" t="s">
        <v>44</v>
      </c>
      <c r="D1075" s="1">
        <v>44656</v>
      </c>
      <c r="E1075" s="1" t="str">
        <f>TEXT(Sales[[#This Row],[Date]],"mmm")</f>
        <v>Apr</v>
      </c>
      <c r="F1075" s="1" t="str">
        <f t="shared" si="32"/>
        <v>2022</v>
      </c>
      <c r="G1075" s="1" t="str">
        <f t="shared" si="33"/>
        <v>Tue</v>
      </c>
      <c r="H1075" s="7">
        <v>5887</v>
      </c>
      <c r="I1075" s="6">
        <v>268</v>
      </c>
    </row>
    <row r="1076" spans="1:9" x14ac:dyDescent="0.25">
      <c r="A1076" t="s">
        <v>48</v>
      </c>
      <c r="B1076" t="s">
        <v>10</v>
      </c>
      <c r="C1076" t="s">
        <v>20</v>
      </c>
      <c r="D1076" s="1">
        <v>44578</v>
      </c>
      <c r="E1076" s="1" t="str">
        <f>TEXT(Sales[[#This Row],[Date]],"mmm")</f>
        <v>Jan</v>
      </c>
      <c r="F1076" s="1" t="str">
        <f t="shared" si="32"/>
        <v>2022</v>
      </c>
      <c r="G1076" s="1" t="str">
        <f t="shared" si="33"/>
        <v>Mon</v>
      </c>
      <c r="H1076" s="7">
        <v>952</v>
      </c>
      <c r="I1076" s="6">
        <v>68</v>
      </c>
    </row>
    <row r="1077" spans="1:9" x14ac:dyDescent="0.25">
      <c r="A1077" t="s">
        <v>36</v>
      </c>
      <c r="B1077" t="s">
        <v>10</v>
      </c>
      <c r="C1077" t="s">
        <v>39</v>
      </c>
      <c r="D1077" s="1">
        <v>44642</v>
      </c>
      <c r="E1077" s="1" t="str">
        <f>TEXT(Sales[[#This Row],[Date]],"mmm")</f>
        <v>Mar</v>
      </c>
      <c r="F1077" s="1" t="str">
        <f t="shared" si="32"/>
        <v>2022</v>
      </c>
      <c r="G1077" s="1" t="str">
        <f t="shared" si="33"/>
        <v>Tue</v>
      </c>
      <c r="H1077" s="7">
        <v>10647</v>
      </c>
      <c r="I1077" s="6">
        <v>173</v>
      </c>
    </row>
    <row r="1078" spans="1:9" x14ac:dyDescent="0.25">
      <c r="A1078" t="s">
        <v>54</v>
      </c>
      <c r="B1078" t="s">
        <v>15</v>
      </c>
      <c r="C1078" t="s">
        <v>44</v>
      </c>
      <c r="D1078" s="1">
        <v>44747</v>
      </c>
      <c r="E1078" s="1" t="str">
        <f>TEXT(Sales[[#This Row],[Date]],"mmm")</f>
        <v>Jul</v>
      </c>
      <c r="F1078" s="1" t="str">
        <f t="shared" si="32"/>
        <v>2022</v>
      </c>
      <c r="G1078" s="1" t="str">
        <f t="shared" si="33"/>
        <v>Tue</v>
      </c>
      <c r="H1078" s="7">
        <v>6055</v>
      </c>
      <c r="I1078" s="6">
        <v>93</v>
      </c>
    </row>
    <row r="1079" spans="1:9" x14ac:dyDescent="0.25">
      <c r="A1079" t="s">
        <v>17</v>
      </c>
      <c r="B1079" t="s">
        <v>29</v>
      </c>
      <c r="C1079" t="s">
        <v>27</v>
      </c>
      <c r="D1079" s="1">
        <v>44678</v>
      </c>
      <c r="E1079" s="1" t="str">
        <f>TEXT(Sales[[#This Row],[Date]],"mmm")</f>
        <v>Apr</v>
      </c>
      <c r="F1079" s="1" t="str">
        <f t="shared" si="32"/>
        <v>2022</v>
      </c>
      <c r="G1079" s="1" t="str">
        <f t="shared" si="33"/>
        <v>Wed</v>
      </c>
      <c r="H1079" s="7">
        <v>8757</v>
      </c>
      <c r="I1079" s="6">
        <v>338</v>
      </c>
    </row>
    <row r="1080" spans="1:9" x14ac:dyDescent="0.25">
      <c r="A1080" t="s">
        <v>41</v>
      </c>
      <c r="B1080" t="s">
        <v>29</v>
      </c>
      <c r="C1080" t="s">
        <v>47</v>
      </c>
      <c r="D1080" s="1">
        <v>44785</v>
      </c>
      <c r="E1080" s="1" t="str">
        <f>TEXT(Sales[[#This Row],[Date]],"mmm")</f>
        <v>Aug</v>
      </c>
      <c r="F1080" s="1" t="str">
        <f t="shared" si="32"/>
        <v>2022</v>
      </c>
      <c r="G1080" s="1" t="str">
        <f t="shared" si="33"/>
        <v>Fri</v>
      </c>
      <c r="H1080" s="7">
        <v>6055</v>
      </c>
      <c r="I1080" s="6">
        <v>73</v>
      </c>
    </row>
    <row r="1081" spans="1:9" x14ac:dyDescent="0.25">
      <c r="A1081" t="s">
        <v>14</v>
      </c>
      <c r="B1081" t="s">
        <v>7</v>
      </c>
      <c r="C1081" t="s">
        <v>56</v>
      </c>
      <c r="D1081" s="1">
        <v>44631</v>
      </c>
      <c r="E1081" s="1" t="str">
        <f>TEXT(Sales[[#This Row],[Date]],"mmm")</f>
        <v>Mar</v>
      </c>
      <c r="F1081" s="1" t="str">
        <f t="shared" si="32"/>
        <v>2022</v>
      </c>
      <c r="G1081" s="1" t="str">
        <f t="shared" si="33"/>
        <v>Fri</v>
      </c>
      <c r="H1081" s="7">
        <v>721</v>
      </c>
      <c r="I1081" s="6">
        <v>251</v>
      </c>
    </row>
    <row r="1082" spans="1:9" x14ac:dyDescent="0.25">
      <c r="A1082" t="s">
        <v>6</v>
      </c>
      <c r="B1082" t="s">
        <v>7</v>
      </c>
      <c r="C1082" t="s">
        <v>42</v>
      </c>
      <c r="D1082" s="1">
        <v>44694</v>
      </c>
      <c r="E1082" s="1" t="str">
        <f>TEXT(Sales[[#This Row],[Date]],"mmm")</f>
        <v>May</v>
      </c>
      <c r="F1082" s="1" t="str">
        <f t="shared" si="32"/>
        <v>2022</v>
      </c>
      <c r="G1082" s="1" t="str">
        <f t="shared" si="33"/>
        <v>Fri</v>
      </c>
      <c r="H1082" s="7">
        <v>8589</v>
      </c>
      <c r="I1082" s="6">
        <v>229</v>
      </c>
    </row>
    <row r="1083" spans="1:9" x14ac:dyDescent="0.25">
      <c r="A1083" t="s">
        <v>43</v>
      </c>
      <c r="B1083" t="s">
        <v>26</v>
      </c>
      <c r="C1083" t="s">
        <v>16</v>
      </c>
      <c r="D1083" s="1">
        <v>44693</v>
      </c>
      <c r="E1083" s="1" t="str">
        <f>TEXT(Sales[[#This Row],[Date]],"mmm")</f>
        <v>May</v>
      </c>
      <c r="F1083" s="1" t="str">
        <f t="shared" si="32"/>
        <v>2022</v>
      </c>
      <c r="G1083" s="1" t="str">
        <f t="shared" si="33"/>
        <v>Thu</v>
      </c>
      <c r="H1083" s="7">
        <v>11781</v>
      </c>
      <c r="I1083" s="6">
        <v>91</v>
      </c>
    </row>
    <row r="1084" spans="1:9" x14ac:dyDescent="0.25">
      <c r="A1084" t="s">
        <v>23</v>
      </c>
      <c r="B1084" t="s">
        <v>26</v>
      </c>
      <c r="C1084" t="s">
        <v>51</v>
      </c>
      <c r="D1084" s="1">
        <v>44573</v>
      </c>
      <c r="E1084" s="1" t="str">
        <f>TEXT(Sales[[#This Row],[Date]],"mmm")</f>
        <v>Jan</v>
      </c>
      <c r="F1084" s="1" t="str">
        <f t="shared" si="32"/>
        <v>2022</v>
      </c>
      <c r="G1084" s="1" t="str">
        <f t="shared" si="33"/>
        <v>Wed</v>
      </c>
      <c r="H1084" s="7">
        <v>672</v>
      </c>
      <c r="I1084" s="6">
        <v>194</v>
      </c>
    </row>
    <row r="1085" spans="1:9" x14ac:dyDescent="0.25">
      <c r="A1085" t="s">
        <v>53</v>
      </c>
      <c r="B1085" t="s">
        <v>21</v>
      </c>
      <c r="C1085" t="s">
        <v>37</v>
      </c>
      <c r="D1085" s="1">
        <v>44649</v>
      </c>
      <c r="E1085" s="1" t="str">
        <f>TEXT(Sales[[#This Row],[Date]],"mmm")</f>
        <v>Mar</v>
      </c>
      <c r="F1085" s="1" t="str">
        <f t="shared" si="32"/>
        <v>2022</v>
      </c>
      <c r="G1085" s="1" t="str">
        <f t="shared" si="33"/>
        <v>Tue</v>
      </c>
      <c r="H1085" s="7">
        <v>12558</v>
      </c>
      <c r="I1085" s="6">
        <v>403</v>
      </c>
    </row>
    <row r="1086" spans="1:9" x14ac:dyDescent="0.25">
      <c r="A1086" t="s">
        <v>36</v>
      </c>
      <c r="B1086" t="s">
        <v>10</v>
      </c>
      <c r="C1086" t="s">
        <v>22</v>
      </c>
      <c r="D1086" s="1">
        <v>44634</v>
      </c>
      <c r="E1086" s="1" t="str">
        <f>TEXT(Sales[[#This Row],[Date]],"mmm")</f>
        <v>Mar</v>
      </c>
      <c r="F1086" s="1" t="str">
        <f t="shared" si="32"/>
        <v>2022</v>
      </c>
      <c r="G1086" s="1" t="str">
        <f t="shared" si="33"/>
        <v>Mon</v>
      </c>
      <c r="H1086" s="7">
        <v>8337</v>
      </c>
      <c r="I1086" s="6">
        <v>12</v>
      </c>
    </row>
    <row r="1087" spans="1:9" x14ac:dyDescent="0.25">
      <c r="A1087" t="s">
        <v>25</v>
      </c>
      <c r="B1087" t="s">
        <v>21</v>
      </c>
      <c r="C1087" t="s">
        <v>18</v>
      </c>
      <c r="D1087" s="1">
        <v>44705</v>
      </c>
      <c r="E1087" s="1" t="str">
        <f>TEXT(Sales[[#This Row],[Date]],"mmm")</f>
        <v>May</v>
      </c>
      <c r="F1087" s="1" t="str">
        <f t="shared" si="32"/>
        <v>2022</v>
      </c>
      <c r="G1087" s="1" t="str">
        <f t="shared" si="33"/>
        <v>Tue</v>
      </c>
      <c r="H1087" s="7">
        <v>8134</v>
      </c>
      <c r="I1087" s="6">
        <v>195</v>
      </c>
    </row>
    <row r="1088" spans="1:9" x14ac:dyDescent="0.25">
      <c r="A1088" t="s">
        <v>43</v>
      </c>
      <c r="B1088" t="s">
        <v>29</v>
      </c>
      <c r="C1088" t="s">
        <v>35</v>
      </c>
      <c r="D1088" s="1">
        <v>44589</v>
      </c>
      <c r="E1088" s="1" t="str">
        <f>TEXT(Sales[[#This Row],[Date]],"mmm")</f>
        <v>Jan</v>
      </c>
      <c r="F1088" s="1" t="str">
        <f t="shared" si="32"/>
        <v>2022</v>
      </c>
      <c r="G1088" s="1" t="str">
        <f t="shared" si="33"/>
        <v>Fri</v>
      </c>
      <c r="H1088" s="7">
        <v>8491</v>
      </c>
      <c r="I1088" s="6">
        <v>75</v>
      </c>
    </row>
    <row r="1089" spans="1:9" x14ac:dyDescent="0.25">
      <c r="A1089" t="s">
        <v>34</v>
      </c>
      <c r="B1089" t="s">
        <v>10</v>
      </c>
      <c r="C1089" t="s">
        <v>47</v>
      </c>
      <c r="D1089" s="1">
        <v>44705</v>
      </c>
      <c r="E1089" s="1" t="str">
        <f>TEXT(Sales[[#This Row],[Date]],"mmm")</f>
        <v>May</v>
      </c>
      <c r="F1089" s="1" t="str">
        <f t="shared" si="32"/>
        <v>2022</v>
      </c>
      <c r="G1089" s="1" t="str">
        <f t="shared" si="33"/>
        <v>Tue</v>
      </c>
      <c r="H1089" s="7">
        <v>3066</v>
      </c>
      <c r="I1089" s="6">
        <v>96</v>
      </c>
    </row>
    <row r="1090" spans="1:9" x14ac:dyDescent="0.25">
      <c r="A1090" t="s">
        <v>23</v>
      </c>
      <c r="B1090" t="s">
        <v>15</v>
      </c>
      <c r="C1090" t="s">
        <v>13</v>
      </c>
      <c r="D1090" s="1">
        <v>44792</v>
      </c>
      <c r="E1090" s="1" t="str">
        <f>TEXT(Sales[[#This Row],[Date]],"mmm")</f>
        <v>Aug</v>
      </c>
      <c r="F1090" s="1" t="str">
        <f t="shared" ref="F1090:F1095" si="34">TEXT(D:D,"yyyy")</f>
        <v>2022</v>
      </c>
      <c r="G1090" s="1" t="str">
        <f t="shared" ref="G1090:G1095" si="35">TEXT(D:D,"ddd")</f>
        <v>Fri</v>
      </c>
      <c r="H1090" s="7">
        <v>301</v>
      </c>
      <c r="I1090" s="6">
        <v>205</v>
      </c>
    </row>
    <row r="1091" spans="1:9" x14ac:dyDescent="0.25">
      <c r="A1091" t="s">
        <v>31</v>
      </c>
      <c r="B1091" t="s">
        <v>15</v>
      </c>
      <c r="C1091" t="s">
        <v>39</v>
      </c>
      <c r="D1091" s="1">
        <v>44698</v>
      </c>
      <c r="E1091" s="1" t="str">
        <f>TEXT(Sales[[#This Row],[Date]],"mmm")</f>
        <v>May</v>
      </c>
      <c r="F1091" s="1" t="str">
        <f t="shared" si="34"/>
        <v>2022</v>
      </c>
      <c r="G1091" s="1" t="str">
        <f t="shared" si="35"/>
        <v>Tue</v>
      </c>
      <c r="H1091" s="7">
        <v>4410</v>
      </c>
      <c r="I1091" s="6">
        <v>323</v>
      </c>
    </row>
    <row r="1092" spans="1:9" x14ac:dyDescent="0.25">
      <c r="A1092" t="s">
        <v>6</v>
      </c>
      <c r="B1092" t="s">
        <v>26</v>
      </c>
      <c r="C1092" t="s">
        <v>44</v>
      </c>
      <c r="D1092" s="1">
        <v>44719</v>
      </c>
      <c r="E1092" s="1" t="str">
        <f>TEXT(Sales[[#This Row],[Date]],"mmm")</f>
        <v>Jun</v>
      </c>
      <c r="F1092" s="1" t="str">
        <f t="shared" si="34"/>
        <v>2022</v>
      </c>
      <c r="G1092" s="1" t="str">
        <f t="shared" si="35"/>
        <v>Tue</v>
      </c>
      <c r="H1092" s="7">
        <v>6559</v>
      </c>
      <c r="I1092" s="6">
        <v>119</v>
      </c>
    </row>
    <row r="1093" spans="1:9" x14ac:dyDescent="0.25">
      <c r="A1093" t="s">
        <v>55</v>
      </c>
      <c r="B1093" t="s">
        <v>29</v>
      </c>
      <c r="C1093" t="s">
        <v>35</v>
      </c>
      <c r="D1093" s="1">
        <v>44768</v>
      </c>
      <c r="E1093" s="1" t="str">
        <f>TEXT(Sales[[#This Row],[Date]],"mmm")</f>
        <v>Jul</v>
      </c>
      <c r="F1093" s="1" t="str">
        <f t="shared" si="34"/>
        <v>2022</v>
      </c>
      <c r="G1093" s="1" t="str">
        <f t="shared" si="35"/>
        <v>Tue</v>
      </c>
      <c r="H1093" s="7">
        <v>574</v>
      </c>
      <c r="I1093" s="6">
        <v>217</v>
      </c>
    </row>
    <row r="1094" spans="1:9" x14ac:dyDescent="0.25">
      <c r="A1094" t="s">
        <v>54</v>
      </c>
      <c r="B1094" t="s">
        <v>10</v>
      </c>
      <c r="C1094" t="s">
        <v>30</v>
      </c>
      <c r="D1094" s="1">
        <v>44770</v>
      </c>
      <c r="E1094" s="1" t="str">
        <f>TEXT(Sales[[#This Row],[Date]],"mmm")</f>
        <v>Jul</v>
      </c>
      <c r="F1094" s="1" t="str">
        <f t="shared" si="34"/>
        <v>2022</v>
      </c>
      <c r="G1094" s="1" t="str">
        <f t="shared" si="35"/>
        <v>Thu</v>
      </c>
      <c r="H1094" s="7">
        <v>2086</v>
      </c>
      <c r="I1094" s="6">
        <v>384</v>
      </c>
    </row>
    <row r="1095" spans="1:9" x14ac:dyDescent="0.25">
      <c r="A1095" t="s">
        <v>31</v>
      </c>
      <c r="B1095" t="s">
        <v>10</v>
      </c>
      <c r="C1095" t="s">
        <v>58</v>
      </c>
      <c r="D1095" s="1">
        <v>44704</v>
      </c>
      <c r="E1095" s="1" t="str">
        <f>TEXT(Sales[[#This Row],[Date]],"mmm")</f>
        <v>May</v>
      </c>
      <c r="F1095" s="1" t="str">
        <f t="shared" si="34"/>
        <v>2022</v>
      </c>
      <c r="G1095" s="1" t="str">
        <f t="shared" si="35"/>
        <v>Mon</v>
      </c>
      <c r="H1095" s="7">
        <v>5075</v>
      </c>
      <c r="I1095" s="6">
        <v>344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vt:lpstr>
      <vt:lpstr>Chocolate 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ABC</dc:creator>
  <cp:lastModifiedBy>Rahul Pal</cp:lastModifiedBy>
  <dcterms:modified xsi:type="dcterms:W3CDTF">2026-01-15T19:03:57Z</dcterms:modified>
</cp:coreProperties>
</file>